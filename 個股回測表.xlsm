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end\Desktop\"/>
    </mc:Choice>
  </mc:AlternateContent>
  <xr:revisionPtr revIDLastSave="0" documentId="8_{FBAA4EF3-6893-40E0-B8F6-80C2BF92159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回測表" sheetId="1" r:id="rId1"/>
    <sheet name="查詢樣板" sheetId="16" r:id="rId2"/>
    <sheet name="20100311_2472" sheetId="366" r:id="rId3"/>
    <sheet name="20180326_1514" sheetId="367" r:id="rId4"/>
    <sheet name="20060330_5488" sheetId="368" r:id="rId5"/>
    <sheet name="20060331_6223" sheetId="369" r:id="rId6"/>
    <sheet name="20060317_8079" sheetId="370" r:id="rId7"/>
    <sheet name="20100315_3534" sheetId="371" r:id="rId8"/>
    <sheet name="20180326_2478" sheetId="372" r:id="rId9"/>
  </sheets>
  <functionGroups builtInGroupCount="19"/>
  <definedNames>
    <definedName name="AUpdate">1</definedName>
    <definedName name="BUpdate">1</definedName>
    <definedName name="GUpdate">0</definedName>
    <definedName name="TUpdate">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1" l="1"/>
  <c r="P8" i="1" s="1"/>
  <c r="H8" i="1"/>
  <c r="O8" i="1" s="1"/>
  <c r="G8" i="1"/>
  <c r="F8" i="1"/>
  <c r="L8" i="1" s="1"/>
  <c r="E8" i="1"/>
  <c r="J8" i="1" s="1"/>
  <c r="D8" i="1"/>
  <c r="Q8" i="1" s="1"/>
  <c r="O7" i="1"/>
  <c r="J7" i="1"/>
  <c r="I7" i="1"/>
  <c r="P7" i="1" s="1"/>
  <c r="H7" i="1"/>
  <c r="G7" i="1"/>
  <c r="Q7" i="1" s="1"/>
  <c r="F7" i="1"/>
  <c r="L7" i="1" s="1"/>
  <c r="E7" i="1"/>
  <c r="D7" i="1"/>
  <c r="P6" i="1"/>
  <c r="O6" i="1"/>
  <c r="J6" i="1"/>
  <c r="I6" i="1"/>
  <c r="H6" i="1"/>
  <c r="G6" i="1"/>
  <c r="Q6" i="1" s="1"/>
  <c r="F6" i="1"/>
  <c r="L6" i="1" s="1"/>
  <c r="E6" i="1"/>
  <c r="D6" i="1"/>
  <c r="I5" i="1"/>
  <c r="P5" i="1" s="1"/>
  <c r="H5" i="1"/>
  <c r="O5" i="1" s="1"/>
  <c r="G5" i="1"/>
  <c r="Q5" i="1" s="1"/>
  <c r="F5" i="1"/>
  <c r="E5" i="1"/>
  <c r="D5" i="1"/>
  <c r="L5" i="1" s="1"/>
  <c r="Q4" i="1"/>
  <c r="J4" i="1"/>
  <c r="I4" i="1"/>
  <c r="P4" i="1" s="1"/>
  <c r="H4" i="1"/>
  <c r="O4" i="1" s="1"/>
  <c r="G4" i="1"/>
  <c r="F4" i="1"/>
  <c r="E4" i="1"/>
  <c r="D4" i="1"/>
  <c r="L4" i="1" s="1"/>
  <c r="R3" i="1"/>
  <c r="Q3" i="1"/>
  <c r="J3" i="1"/>
  <c r="I3" i="1"/>
  <c r="P3" i="1" s="1"/>
  <c r="H3" i="1"/>
  <c r="O3" i="1" s="1"/>
  <c r="G3" i="1"/>
  <c r="F3" i="1"/>
  <c r="L3" i="1" s="1"/>
  <c r="E3" i="1"/>
  <c r="D3" i="1"/>
  <c r="R2" i="1"/>
  <c r="J2" i="1"/>
  <c r="I2" i="1"/>
  <c r="P2" i="1" s="1"/>
  <c r="H2" i="1"/>
  <c r="G2" i="1"/>
  <c r="Q2" i="1" s="1"/>
  <c r="F2" i="1"/>
  <c r="E2" i="1"/>
  <c r="D2" i="1"/>
  <c r="O2" i="1" s="1"/>
  <c r="A1" i="372"/>
  <c r="I2" i="372" s="1"/>
  <c r="N162" i="372" s="1"/>
  <c r="A1" i="371"/>
  <c r="I2" i="371" s="1"/>
  <c r="N174" i="371" s="1"/>
  <c r="A1" i="370"/>
  <c r="I2" i="370" s="1"/>
  <c r="N230" i="370" s="1"/>
  <c r="A1" i="369"/>
  <c r="I2" i="369" s="1"/>
  <c r="N65" i="369" s="1"/>
  <c r="A1" i="368"/>
  <c r="I2" i="368" s="1"/>
  <c r="N146" i="368" s="1"/>
  <c r="A1" i="367"/>
  <c r="I2" i="367" s="1"/>
  <c r="N174" i="367" s="1"/>
  <c r="A1" i="366"/>
  <c r="I2" i="366" s="1"/>
  <c r="L2" i="1" l="1"/>
  <c r="R4" i="1"/>
  <c r="J5" i="1"/>
  <c r="R5" i="1"/>
  <c r="R6" i="1"/>
  <c r="R7" i="1"/>
  <c r="R8" i="1"/>
  <c r="N88" i="372"/>
  <c r="P88" i="372" s="1"/>
  <c r="N98" i="372"/>
  <c r="N146" i="372"/>
  <c r="P146" i="372" s="1"/>
  <c r="S253" i="372"/>
  <c r="U253" i="372" s="1"/>
  <c r="S251" i="372"/>
  <c r="U251" i="372" s="1"/>
  <c r="S249" i="372"/>
  <c r="U249" i="372" s="1"/>
  <c r="S247" i="372"/>
  <c r="U247" i="372" s="1"/>
  <c r="S245" i="372"/>
  <c r="U245" i="372" s="1"/>
  <c r="S243" i="372"/>
  <c r="U243" i="372" s="1"/>
  <c r="S241" i="372"/>
  <c r="U241" i="372" s="1"/>
  <c r="S239" i="372"/>
  <c r="U239" i="372" s="1"/>
  <c r="S237" i="372"/>
  <c r="U237" i="372" s="1"/>
  <c r="S235" i="372"/>
  <c r="U235" i="372" s="1"/>
  <c r="S233" i="372"/>
  <c r="U233" i="372" s="1"/>
  <c r="S231" i="372"/>
  <c r="U231" i="372" s="1"/>
  <c r="S229" i="372"/>
  <c r="U229" i="372" s="1"/>
  <c r="S227" i="372"/>
  <c r="U227" i="372" s="1"/>
  <c r="S225" i="372"/>
  <c r="U225" i="372" s="1"/>
  <c r="S223" i="372"/>
  <c r="U223" i="372" s="1"/>
  <c r="S221" i="372"/>
  <c r="U221" i="372" s="1"/>
  <c r="S219" i="372"/>
  <c r="U219" i="372" s="1"/>
  <c r="S217" i="372"/>
  <c r="U217" i="372" s="1"/>
  <c r="S215" i="372"/>
  <c r="U215" i="372" s="1"/>
  <c r="S213" i="372"/>
  <c r="U213" i="372" s="1"/>
  <c r="S211" i="372"/>
  <c r="U211" i="372" s="1"/>
  <c r="S209" i="372"/>
  <c r="U209" i="372" s="1"/>
  <c r="S207" i="372"/>
  <c r="U207" i="372" s="1"/>
  <c r="S205" i="372"/>
  <c r="U205" i="372" s="1"/>
  <c r="S203" i="372"/>
  <c r="U203" i="372" s="1"/>
  <c r="S201" i="372"/>
  <c r="U201" i="372" s="1"/>
  <c r="S199" i="372"/>
  <c r="U199" i="372" s="1"/>
  <c r="S197" i="372"/>
  <c r="U197" i="372" s="1"/>
  <c r="S195" i="372"/>
  <c r="U195" i="372" s="1"/>
  <c r="S193" i="372"/>
  <c r="U193" i="372" s="1"/>
  <c r="S191" i="372"/>
  <c r="U191" i="372" s="1"/>
  <c r="S189" i="372"/>
  <c r="U189" i="372" s="1"/>
  <c r="S187" i="372"/>
  <c r="U187" i="372" s="1"/>
  <c r="S185" i="372"/>
  <c r="U185" i="372" s="1"/>
  <c r="S183" i="372"/>
  <c r="U183" i="372" s="1"/>
  <c r="S181" i="372"/>
  <c r="U181" i="372" s="1"/>
  <c r="S179" i="372"/>
  <c r="U179" i="372" s="1"/>
  <c r="S177" i="372"/>
  <c r="U177" i="372" s="1"/>
  <c r="S175" i="372"/>
  <c r="U175" i="372" s="1"/>
  <c r="S173" i="372"/>
  <c r="U173" i="372" s="1"/>
  <c r="S171" i="372"/>
  <c r="U171" i="372" s="1"/>
  <c r="S169" i="372"/>
  <c r="U169" i="372" s="1"/>
  <c r="S167" i="372"/>
  <c r="U167" i="372" s="1"/>
  <c r="S165" i="372"/>
  <c r="U165" i="372" s="1"/>
  <c r="S163" i="372"/>
  <c r="U163" i="372" s="1"/>
  <c r="S161" i="372"/>
  <c r="U161" i="372" s="1"/>
  <c r="S159" i="372"/>
  <c r="U159" i="372" s="1"/>
  <c r="S157" i="372"/>
  <c r="U157" i="372" s="1"/>
  <c r="S155" i="372"/>
  <c r="U155" i="372" s="1"/>
  <c r="S153" i="372"/>
  <c r="U153" i="372" s="1"/>
  <c r="S151" i="372"/>
  <c r="U151" i="372" s="1"/>
  <c r="S149" i="372"/>
  <c r="U149" i="372" s="1"/>
  <c r="S147" i="372"/>
  <c r="U147" i="372" s="1"/>
  <c r="S145" i="372"/>
  <c r="U145" i="372" s="1"/>
  <c r="S143" i="372"/>
  <c r="U143" i="372" s="1"/>
  <c r="S141" i="372"/>
  <c r="U141" i="372" s="1"/>
  <c r="S139" i="372"/>
  <c r="U139" i="372" s="1"/>
  <c r="S137" i="372"/>
  <c r="U137" i="372" s="1"/>
  <c r="S135" i="372"/>
  <c r="U135" i="372" s="1"/>
  <c r="S133" i="372"/>
  <c r="U133" i="372" s="1"/>
  <c r="S131" i="372"/>
  <c r="U131" i="372" s="1"/>
  <c r="S129" i="372"/>
  <c r="U129" i="372" s="1"/>
  <c r="S127" i="372"/>
  <c r="U127" i="372" s="1"/>
  <c r="S125" i="372"/>
  <c r="U125" i="372" s="1"/>
  <c r="S123" i="372"/>
  <c r="U123" i="372" s="1"/>
  <c r="S121" i="372"/>
  <c r="U121" i="372" s="1"/>
  <c r="S119" i="372"/>
  <c r="U119" i="372" s="1"/>
  <c r="S117" i="372"/>
  <c r="U117" i="372" s="1"/>
  <c r="S115" i="372"/>
  <c r="U115" i="372" s="1"/>
  <c r="S113" i="372"/>
  <c r="U113" i="372" s="1"/>
  <c r="S111" i="372"/>
  <c r="U111" i="372" s="1"/>
  <c r="S109" i="372"/>
  <c r="U109" i="372" s="1"/>
  <c r="S107" i="372"/>
  <c r="U107" i="372" s="1"/>
  <c r="S105" i="372"/>
  <c r="U105" i="372" s="1"/>
  <c r="S103" i="372"/>
  <c r="U103" i="372" s="1"/>
  <c r="S101" i="372"/>
  <c r="U101" i="372" s="1"/>
  <c r="S99" i="372"/>
  <c r="U99" i="372" s="1"/>
  <c r="S97" i="372"/>
  <c r="U97" i="372" s="1"/>
  <c r="S95" i="372"/>
  <c r="U95" i="372" s="1"/>
  <c r="S93" i="372"/>
  <c r="U93" i="372" s="1"/>
  <c r="S91" i="372"/>
  <c r="U91" i="372" s="1"/>
  <c r="S89" i="372"/>
  <c r="U89" i="372" s="1"/>
  <c r="S87" i="372"/>
  <c r="U87" i="372" s="1"/>
  <c r="P185" i="372"/>
  <c r="P167" i="372"/>
  <c r="P107" i="372"/>
  <c r="N253" i="372"/>
  <c r="P253" i="372" s="1"/>
  <c r="N251" i="372"/>
  <c r="P251" i="372" s="1"/>
  <c r="N249" i="372"/>
  <c r="P249" i="372" s="1"/>
  <c r="N247" i="372"/>
  <c r="P247" i="372" s="1"/>
  <c r="N245" i="372"/>
  <c r="P245" i="372" s="1"/>
  <c r="N243" i="372"/>
  <c r="P243" i="372" s="1"/>
  <c r="N241" i="372"/>
  <c r="P241" i="372" s="1"/>
  <c r="N239" i="372"/>
  <c r="P239" i="372" s="1"/>
  <c r="N237" i="372"/>
  <c r="P237" i="372" s="1"/>
  <c r="N235" i="372"/>
  <c r="P235" i="372" s="1"/>
  <c r="N233" i="372"/>
  <c r="P233" i="372" s="1"/>
  <c r="N231" i="372"/>
  <c r="P231" i="372" s="1"/>
  <c r="N229" i="372"/>
  <c r="P229" i="372" s="1"/>
  <c r="N227" i="372"/>
  <c r="P227" i="372" s="1"/>
  <c r="N225" i="372"/>
  <c r="P225" i="372" s="1"/>
  <c r="N223" i="372"/>
  <c r="P223" i="372" s="1"/>
  <c r="N221" i="372"/>
  <c r="P221" i="372" s="1"/>
  <c r="N219" i="372"/>
  <c r="P219" i="372" s="1"/>
  <c r="N217" i="372"/>
  <c r="P217" i="372" s="1"/>
  <c r="N215" i="372"/>
  <c r="P215" i="372" s="1"/>
  <c r="N213" i="372"/>
  <c r="P213" i="372" s="1"/>
  <c r="N211" i="372"/>
  <c r="P211" i="372" s="1"/>
  <c r="N209" i="372"/>
  <c r="P209" i="372" s="1"/>
  <c r="N207" i="372"/>
  <c r="P207" i="372" s="1"/>
  <c r="N205" i="372"/>
  <c r="P205" i="372" s="1"/>
  <c r="N203" i="372"/>
  <c r="P203" i="372" s="1"/>
  <c r="N201" i="372"/>
  <c r="P201" i="372" s="1"/>
  <c r="N199" i="372"/>
  <c r="P199" i="372" s="1"/>
  <c r="N197" i="372"/>
  <c r="P197" i="372" s="1"/>
  <c r="N195" i="372"/>
  <c r="P195" i="372" s="1"/>
  <c r="N193" i="372"/>
  <c r="P193" i="372" s="1"/>
  <c r="N191" i="372"/>
  <c r="P191" i="372" s="1"/>
  <c r="N189" i="372"/>
  <c r="P189" i="372" s="1"/>
  <c r="N187" i="372"/>
  <c r="P187" i="372" s="1"/>
  <c r="N185" i="372"/>
  <c r="N183" i="372"/>
  <c r="P183" i="372" s="1"/>
  <c r="N181" i="372"/>
  <c r="P181" i="372" s="1"/>
  <c r="N179" i="372"/>
  <c r="P179" i="372" s="1"/>
  <c r="N177" i="372"/>
  <c r="P177" i="372" s="1"/>
  <c r="N175" i="372"/>
  <c r="P175" i="372" s="1"/>
  <c r="N173" i="372"/>
  <c r="P173" i="372" s="1"/>
  <c r="N171" i="372"/>
  <c r="P171" i="372" s="1"/>
  <c r="N169" i="372"/>
  <c r="P169" i="372" s="1"/>
  <c r="N167" i="372"/>
  <c r="N165" i="372"/>
  <c r="P165" i="372" s="1"/>
  <c r="N163" i="372"/>
  <c r="P163" i="372" s="1"/>
  <c r="N161" i="372"/>
  <c r="P161" i="372" s="1"/>
  <c r="N159" i="372"/>
  <c r="P159" i="372" s="1"/>
  <c r="N157" i="372"/>
  <c r="P157" i="372" s="1"/>
  <c r="N155" i="372"/>
  <c r="P155" i="372" s="1"/>
  <c r="N153" i="372"/>
  <c r="P153" i="372" s="1"/>
  <c r="N151" i="372"/>
  <c r="P151" i="372" s="1"/>
  <c r="N149" i="372"/>
  <c r="P149" i="372" s="1"/>
  <c r="N147" i="372"/>
  <c r="P147" i="372" s="1"/>
  <c r="N145" i="372"/>
  <c r="P145" i="372" s="1"/>
  <c r="N143" i="372"/>
  <c r="P143" i="372" s="1"/>
  <c r="N141" i="372"/>
  <c r="P141" i="372" s="1"/>
  <c r="N139" i="372"/>
  <c r="P139" i="372" s="1"/>
  <c r="N137" i="372"/>
  <c r="P137" i="372" s="1"/>
  <c r="N135" i="372"/>
  <c r="P135" i="372" s="1"/>
  <c r="N133" i="372"/>
  <c r="P133" i="372" s="1"/>
  <c r="N131" i="372"/>
  <c r="P131" i="372" s="1"/>
  <c r="N129" i="372"/>
  <c r="P129" i="372" s="1"/>
  <c r="N127" i="372"/>
  <c r="P127" i="372" s="1"/>
  <c r="N125" i="372"/>
  <c r="P125" i="372" s="1"/>
  <c r="N123" i="372"/>
  <c r="P123" i="372" s="1"/>
  <c r="N121" i="372"/>
  <c r="P121" i="372" s="1"/>
  <c r="N119" i="372"/>
  <c r="P119" i="372" s="1"/>
  <c r="N117" i="372"/>
  <c r="P117" i="372" s="1"/>
  <c r="N115" i="372"/>
  <c r="P115" i="372" s="1"/>
  <c r="N113" i="372"/>
  <c r="P113" i="372" s="1"/>
  <c r="N111" i="372"/>
  <c r="P111" i="372" s="1"/>
  <c r="N109" i="372"/>
  <c r="P109" i="372" s="1"/>
  <c r="N107" i="372"/>
  <c r="N105" i="372"/>
  <c r="P105" i="372" s="1"/>
  <c r="N103" i="372"/>
  <c r="P103" i="372" s="1"/>
  <c r="N101" i="372"/>
  <c r="P101" i="372" s="1"/>
  <c r="N99" i="372"/>
  <c r="P99" i="372" s="1"/>
  <c r="N97" i="372"/>
  <c r="P97" i="372" s="1"/>
  <c r="N95" i="372"/>
  <c r="P95" i="372" s="1"/>
  <c r="N93" i="372"/>
  <c r="P93" i="372" s="1"/>
  <c r="N91" i="372"/>
  <c r="P91" i="372" s="1"/>
  <c r="N89" i="372"/>
  <c r="P89" i="372" s="1"/>
  <c r="N87" i="372"/>
  <c r="P87" i="372" s="1"/>
  <c r="U248" i="372"/>
  <c r="U170" i="372"/>
  <c r="U168" i="372"/>
  <c r="U88" i="372"/>
  <c r="S252" i="372"/>
  <c r="U252" i="372" s="1"/>
  <c r="S250" i="372"/>
  <c r="U250" i="372" s="1"/>
  <c r="S248" i="372"/>
  <c r="S246" i="372"/>
  <c r="U246" i="372" s="1"/>
  <c r="S244" i="372"/>
  <c r="U244" i="372" s="1"/>
  <c r="S242" i="372"/>
  <c r="U242" i="372" s="1"/>
  <c r="S240" i="372"/>
  <c r="U240" i="372" s="1"/>
  <c r="S238" i="372"/>
  <c r="U238" i="372" s="1"/>
  <c r="S236" i="372"/>
  <c r="U236" i="372" s="1"/>
  <c r="S234" i="372"/>
  <c r="U234" i="372" s="1"/>
  <c r="S232" i="372"/>
  <c r="U232" i="372" s="1"/>
  <c r="S230" i="372"/>
  <c r="U230" i="372" s="1"/>
  <c r="S228" i="372"/>
  <c r="U228" i="372" s="1"/>
  <c r="S226" i="372"/>
  <c r="U226" i="372" s="1"/>
  <c r="S224" i="372"/>
  <c r="U224" i="372" s="1"/>
  <c r="S222" i="372"/>
  <c r="U222" i="372" s="1"/>
  <c r="S220" i="372"/>
  <c r="U220" i="372" s="1"/>
  <c r="S218" i="372"/>
  <c r="U218" i="372" s="1"/>
  <c r="S216" i="372"/>
  <c r="U216" i="372" s="1"/>
  <c r="S214" i="372"/>
  <c r="U214" i="372" s="1"/>
  <c r="S212" i="372"/>
  <c r="U212" i="372" s="1"/>
  <c r="S210" i="372"/>
  <c r="U210" i="372" s="1"/>
  <c r="S208" i="372"/>
  <c r="U208" i="372" s="1"/>
  <c r="S206" i="372"/>
  <c r="U206" i="372" s="1"/>
  <c r="S204" i="372"/>
  <c r="U204" i="372" s="1"/>
  <c r="S202" i="372"/>
  <c r="U202" i="372" s="1"/>
  <c r="S200" i="372"/>
  <c r="U200" i="372" s="1"/>
  <c r="S198" i="372"/>
  <c r="U198" i="372" s="1"/>
  <c r="S196" i="372"/>
  <c r="U196" i="372" s="1"/>
  <c r="S194" i="372"/>
  <c r="U194" i="372" s="1"/>
  <c r="S192" i="372"/>
  <c r="U192" i="372" s="1"/>
  <c r="S190" i="372"/>
  <c r="U190" i="372" s="1"/>
  <c r="S188" i="372"/>
  <c r="U188" i="372" s="1"/>
  <c r="S186" i="372"/>
  <c r="U186" i="372" s="1"/>
  <c r="S184" i="372"/>
  <c r="U184" i="372" s="1"/>
  <c r="S182" i="372"/>
  <c r="U182" i="372" s="1"/>
  <c r="S180" i="372"/>
  <c r="U180" i="372" s="1"/>
  <c r="S178" i="372"/>
  <c r="U178" i="372" s="1"/>
  <c r="S176" i="372"/>
  <c r="U176" i="372" s="1"/>
  <c r="S174" i="372"/>
  <c r="U174" i="372" s="1"/>
  <c r="S172" i="372"/>
  <c r="U172" i="372" s="1"/>
  <c r="S170" i="372"/>
  <c r="S168" i="372"/>
  <c r="S166" i="372"/>
  <c r="U166" i="372" s="1"/>
  <c r="S164" i="372"/>
  <c r="U164" i="372" s="1"/>
  <c r="S162" i="372"/>
  <c r="U162" i="372" s="1"/>
  <c r="S160" i="372"/>
  <c r="U160" i="372" s="1"/>
  <c r="S158" i="372"/>
  <c r="U158" i="372" s="1"/>
  <c r="S156" i="372"/>
  <c r="U156" i="372" s="1"/>
  <c r="S154" i="372"/>
  <c r="U154" i="372" s="1"/>
  <c r="S152" i="372"/>
  <c r="U152" i="372" s="1"/>
  <c r="S150" i="372"/>
  <c r="U150" i="372" s="1"/>
  <c r="S148" i="372"/>
  <c r="U148" i="372" s="1"/>
  <c r="S146" i="372"/>
  <c r="U146" i="372" s="1"/>
  <c r="S144" i="372"/>
  <c r="U144" i="372" s="1"/>
  <c r="S142" i="372"/>
  <c r="U142" i="372" s="1"/>
  <c r="S140" i="372"/>
  <c r="U140" i="372" s="1"/>
  <c r="S138" i="372"/>
  <c r="U138" i="372" s="1"/>
  <c r="S136" i="372"/>
  <c r="U136" i="372" s="1"/>
  <c r="S134" i="372"/>
  <c r="U134" i="372" s="1"/>
  <c r="S132" i="372"/>
  <c r="U132" i="372" s="1"/>
  <c r="S130" i="372"/>
  <c r="U130" i="372" s="1"/>
  <c r="S128" i="372"/>
  <c r="U128" i="372" s="1"/>
  <c r="S126" i="372"/>
  <c r="U126" i="372" s="1"/>
  <c r="S124" i="372"/>
  <c r="U124" i="372" s="1"/>
  <c r="S122" i="372"/>
  <c r="U122" i="372" s="1"/>
  <c r="S120" i="372"/>
  <c r="U120" i="372" s="1"/>
  <c r="S118" i="372"/>
  <c r="U118" i="372" s="1"/>
  <c r="S116" i="372"/>
  <c r="U116" i="372" s="1"/>
  <c r="S114" i="372"/>
  <c r="U114" i="372" s="1"/>
  <c r="S112" i="372"/>
  <c r="U112" i="372" s="1"/>
  <c r="S110" i="372"/>
  <c r="U110" i="372" s="1"/>
  <c r="S108" i="372"/>
  <c r="U108" i="372" s="1"/>
  <c r="S106" i="372"/>
  <c r="U106" i="372" s="1"/>
  <c r="S104" i="372"/>
  <c r="U104" i="372" s="1"/>
  <c r="S102" i="372"/>
  <c r="U102" i="372" s="1"/>
  <c r="S100" i="372"/>
  <c r="U100" i="372" s="1"/>
  <c r="S98" i="372"/>
  <c r="U98" i="372" s="1"/>
  <c r="S96" i="372"/>
  <c r="U96" i="372" s="1"/>
  <c r="S94" i="372"/>
  <c r="U94" i="372" s="1"/>
  <c r="S92" i="372"/>
  <c r="U92" i="372" s="1"/>
  <c r="S90" i="372"/>
  <c r="U90" i="372" s="1"/>
  <c r="S88" i="372"/>
  <c r="S86" i="372"/>
  <c r="U86" i="372" s="1"/>
  <c r="P170" i="372"/>
  <c r="P162" i="372"/>
  <c r="P98" i="372"/>
  <c r="N252" i="372"/>
  <c r="P252" i="372" s="1"/>
  <c r="N236" i="372"/>
  <c r="P236" i="372" s="1"/>
  <c r="N220" i="372"/>
  <c r="P220" i="372" s="1"/>
  <c r="N204" i="372"/>
  <c r="P204" i="372" s="1"/>
  <c r="N188" i="372"/>
  <c r="P188" i="372" s="1"/>
  <c r="N172" i="372"/>
  <c r="P172" i="372" s="1"/>
  <c r="N156" i="372"/>
  <c r="P156" i="372" s="1"/>
  <c r="N140" i="372"/>
  <c r="P140" i="372" s="1"/>
  <c r="N124" i="372"/>
  <c r="P124" i="372" s="1"/>
  <c r="N108" i="372"/>
  <c r="P108" i="372" s="1"/>
  <c r="S85" i="372"/>
  <c r="U85" i="372" s="1"/>
  <c r="N83" i="372"/>
  <c r="N81" i="372"/>
  <c r="P81" i="372" s="1"/>
  <c r="N79" i="372"/>
  <c r="P79" i="372" s="1"/>
  <c r="N77" i="372"/>
  <c r="P77" i="372" s="1"/>
  <c r="N75" i="372"/>
  <c r="N73" i="372"/>
  <c r="P73" i="372" s="1"/>
  <c r="N71" i="372"/>
  <c r="P71" i="372" s="1"/>
  <c r="N69" i="372"/>
  <c r="N67" i="372"/>
  <c r="P67" i="372" s="1"/>
  <c r="N65" i="372"/>
  <c r="P65" i="372" s="1"/>
  <c r="N63" i="372"/>
  <c r="P63" i="372" s="1"/>
  <c r="N61" i="372"/>
  <c r="P61" i="372" s="1"/>
  <c r="N59" i="372"/>
  <c r="P59" i="372" s="1"/>
  <c r="N57" i="372"/>
  <c r="P57" i="372" s="1"/>
  <c r="N55" i="372"/>
  <c r="P55" i="372" s="1"/>
  <c r="N53" i="372"/>
  <c r="P53" i="372" s="1"/>
  <c r="N51" i="372"/>
  <c r="P51" i="372" s="1"/>
  <c r="N49" i="372"/>
  <c r="P49" i="372" s="1"/>
  <c r="N47" i="372"/>
  <c r="P47" i="372" s="1"/>
  <c r="N45" i="372"/>
  <c r="P45" i="372" s="1"/>
  <c r="N43" i="372"/>
  <c r="P43" i="372" s="1"/>
  <c r="N41" i="372"/>
  <c r="P41" i="372" s="1"/>
  <c r="N39" i="372"/>
  <c r="P39" i="372" s="1"/>
  <c r="N37" i="372"/>
  <c r="P37" i="372" s="1"/>
  <c r="N35" i="372"/>
  <c r="P35" i="372" s="1"/>
  <c r="N33" i="372"/>
  <c r="P33" i="372" s="1"/>
  <c r="N31" i="372"/>
  <c r="P31" i="372" s="1"/>
  <c r="N29" i="372"/>
  <c r="P29" i="372" s="1"/>
  <c r="N27" i="372"/>
  <c r="P27" i="372" s="1"/>
  <c r="N25" i="372"/>
  <c r="P25" i="372" s="1"/>
  <c r="N23" i="372"/>
  <c r="P23" i="372" s="1"/>
  <c r="N21" i="372"/>
  <c r="P21" i="372" s="1"/>
  <c r="N19" i="372"/>
  <c r="P19" i="372" s="1"/>
  <c r="N17" i="372"/>
  <c r="P17" i="372" s="1"/>
  <c r="N15" i="372"/>
  <c r="P15" i="372" s="1"/>
  <c r="N13" i="372"/>
  <c r="P13" i="372" s="1"/>
  <c r="N11" i="372"/>
  <c r="P11" i="372" s="1"/>
  <c r="N9" i="372"/>
  <c r="P9" i="372" s="1"/>
  <c r="N7" i="372"/>
  <c r="P7" i="372" s="1"/>
  <c r="N5" i="372"/>
  <c r="N212" i="372"/>
  <c r="P212" i="372" s="1"/>
  <c r="N74" i="372"/>
  <c r="P74" i="372" s="1"/>
  <c r="N60" i="372"/>
  <c r="P60" i="372" s="1"/>
  <c r="N52" i="372"/>
  <c r="P52" i="372" s="1"/>
  <c r="N44" i="372"/>
  <c r="N40" i="372"/>
  <c r="N34" i="372"/>
  <c r="P34" i="372" s="1"/>
  <c r="N28" i="372"/>
  <c r="P28" i="372" s="1"/>
  <c r="N20" i="372"/>
  <c r="N16" i="372"/>
  <c r="P16" i="372" s="1"/>
  <c r="N10" i="372"/>
  <c r="P10" i="372" s="1"/>
  <c r="N250" i="372"/>
  <c r="P250" i="372" s="1"/>
  <c r="N234" i="372"/>
  <c r="P234" i="372" s="1"/>
  <c r="N218" i="372"/>
  <c r="P218" i="372" s="1"/>
  <c r="N202" i="372"/>
  <c r="P202" i="372" s="1"/>
  <c r="N186" i="372"/>
  <c r="P186" i="372" s="1"/>
  <c r="N170" i="372"/>
  <c r="N154" i="372"/>
  <c r="P154" i="372" s="1"/>
  <c r="N138" i="372"/>
  <c r="P138" i="372" s="1"/>
  <c r="N122" i="372"/>
  <c r="P122" i="372" s="1"/>
  <c r="N106" i="372"/>
  <c r="P106" i="372" s="1"/>
  <c r="N92" i="372"/>
  <c r="P92" i="372" s="1"/>
  <c r="N85" i="372"/>
  <c r="P85" i="372" s="1"/>
  <c r="U36" i="372"/>
  <c r="U26" i="372"/>
  <c r="I5" i="372"/>
  <c r="N8" i="1" s="1"/>
  <c r="N248" i="372"/>
  <c r="P248" i="372" s="1"/>
  <c r="N232" i="372"/>
  <c r="P232" i="372" s="1"/>
  <c r="N216" i="372"/>
  <c r="P216" i="372" s="1"/>
  <c r="N200" i="372"/>
  <c r="P200" i="372" s="1"/>
  <c r="N184" i="372"/>
  <c r="P184" i="372" s="1"/>
  <c r="N168" i="372"/>
  <c r="P168" i="372" s="1"/>
  <c r="N152" i="372"/>
  <c r="P152" i="372" s="1"/>
  <c r="N136" i="372"/>
  <c r="P136" i="372" s="1"/>
  <c r="N120" i="372"/>
  <c r="P120" i="372" s="1"/>
  <c r="N104" i="372"/>
  <c r="P104" i="372" s="1"/>
  <c r="S84" i="372"/>
  <c r="U84" i="372" s="1"/>
  <c r="S82" i="372"/>
  <c r="U82" i="372" s="1"/>
  <c r="S80" i="372"/>
  <c r="U80" i="372" s="1"/>
  <c r="S78" i="372"/>
  <c r="U78" i="372" s="1"/>
  <c r="S76" i="372"/>
  <c r="U76" i="372" s="1"/>
  <c r="S74" i="372"/>
  <c r="U74" i="372" s="1"/>
  <c r="S72" i="372"/>
  <c r="U72" i="372" s="1"/>
  <c r="S70" i="372"/>
  <c r="U70" i="372" s="1"/>
  <c r="S68" i="372"/>
  <c r="U68" i="372" s="1"/>
  <c r="S66" i="372"/>
  <c r="U66" i="372" s="1"/>
  <c r="S64" i="372"/>
  <c r="U64" i="372" s="1"/>
  <c r="S62" i="372"/>
  <c r="U62" i="372" s="1"/>
  <c r="S60" i="372"/>
  <c r="U60" i="372" s="1"/>
  <c r="S58" i="372"/>
  <c r="U58" i="372" s="1"/>
  <c r="S56" i="372"/>
  <c r="U56" i="372" s="1"/>
  <c r="S54" i="372"/>
  <c r="U54" i="372" s="1"/>
  <c r="S52" i="372"/>
  <c r="U52" i="372" s="1"/>
  <c r="S50" i="372"/>
  <c r="U50" i="372" s="1"/>
  <c r="S48" i="372"/>
  <c r="U48" i="372" s="1"/>
  <c r="S46" i="372"/>
  <c r="U46" i="372" s="1"/>
  <c r="S44" i="372"/>
  <c r="U44" i="372" s="1"/>
  <c r="S42" i="372"/>
  <c r="U42" i="372" s="1"/>
  <c r="S40" i="372"/>
  <c r="U40" i="372" s="1"/>
  <c r="S38" i="372"/>
  <c r="U38" i="372" s="1"/>
  <c r="S36" i="372"/>
  <c r="S34" i="372"/>
  <c r="U34" i="372" s="1"/>
  <c r="S32" i="372"/>
  <c r="U32" i="372" s="1"/>
  <c r="S30" i="372"/>
  <c r="U30" i="372" s="1"/>
  <c r="S28" i="372"/>
  <c r="U28" i="372" s="1"/>
  <c r="S26" i="372"/>
  <c r="S24" i="372"/>
  <c r="U24" i="372" s="1"/>
  <c r="S22" i="372"/>
  <c r="U22" i="372" s="1"/>
  <c r="S20" i="372"/>
  <c r="U20" i="372" s="1"/>
  <c r="S18" i="372"/>
  <c r="U18" i="372" s="1"/>
  <c r="S16" i="372"/>
  <c r="U16" i="372" s="1"/>
  <c r="S14" i="372"/>
  <c r="U14" i="372" s="1"/>
  <c r="S12" i="372"/>
  <c r="U12" i="372" s="1"/>
  <c r="S10" i="372"/>
  <c r="U10" i="372" s="1"/>
  <c r="S8" i="372"/>
  <c r="U8" i="372" s="1"/>
  <c r="S6" i="372"/>
  <c r="U6" i="372" s="1"/>
  <c r="N244" i="372"/>
  <c r="P244" i="372" s="1"/>
  <c r="N196" i="372"/>
  <c r="P196" i="372" s="1"/>
  <c r="N180" i="372"/>
  <c r="P180" i="372" s="1"/>
  <c r="N164" i="372"/>
  <c r="P164" i="372" s="1"/>
  <c r="N148" i="372"/>
  <c r="P148" i="372" s="1"/>
  <c r="N132" i="372"/>
  <c r="P132" i="372" s="1"/>
  <c r="N116" i="372"/>
  <c r="P116" i="372" s="1"/>
  <c r="N100" i="372"/>
  <c r="P100" i="372" s="1"/>
  <c r="N84" i="372"/>
  <c r="P84" i="372" s="1"/>
  <c r="N82" i="372"/>
  <c r="P82" i="372" s="1"/>
  <c r="N80" i="372"/>
  <c r="P80" i="372" s="1"/>
  <c r="N78" i="372"/>
  <c r="P78" i="372" s="1"/>
  <c r="N76" i="372"/>
  <c r="N72" i="372"/>
  <c r="P72" i="372" s="1"/>
  <c r="N68" i="372"/>
  <c r="P68" i="372" s="1"/>
  <c r="N66" i="372"/>
  <c r="P66" i="372" s="1"/>
  <c r="N64" i="372"/>
  <c r="P64" i="372" s="1"/>
  <c r="N62" i="372"/>
  <c r="P62" i="372" s="1"/>
  <c r="N58" i="372"/>
  <c r="P58" i="372" s="1"/>
  <c r="N54" i="372"/>
  <c r="P54" i="372" s="1"/>
  <c r="N50" i="372"/>
  <c r="N46" i="372"/>
  <c r="N38" i="372"/>
  <c r="P38" i="372" s="1"/>
  <c r="N30" i="372"/>
  <c r="P30" i="372" s="1"/>
  <c r="N24" i="372"/>
  <c r="P24" i="372" s="1"/>
  <c r="N18" i="372"/>
  <c r="P18" i="372" s="1"/>
  <c r="N12" i="372"/>
  <c r="P12" i="372" s="1"/>
  <c r="N6" i="372"/>
  <c r="P6" i="372" s="1"/>
  <c r="N226" i="372"/>
  <c r="P226" i="372" s="1"/>
  <c r="N210" i="372"/>
  <c r="P210" i="372" s="1"/>
  <c r="N194" i="372"/>
  <c r="P194" i="372" s="1"/>
  <c r="N246" i="372"/>
  <c r="P246" i="372" s="1"/>
  <c r="N230" i="372"/>
  <c r="P230" i="372" s="1"/>
  <c r="N214" i="372"/>
  <c r="P214" i="372" s="1"/>
  <c r="N198" i="372"/>
  <c r="P198" i="372" s="1"/>
  <c r="N182" i="372"/>
  <c r="P182" i="372" s="1"/>
  <c r="N166" i="372"/>
  <c r="P166" i="372" s="1"/>
  <c r="N150" i="372"/>
  <c r="P150" i="372" s="1"/>
  <c r="N134" i="372"/>
  <c r="P134" i="372" s="1"/>
  <c r="N118" i="372"/>
  <c r="P118" i="372" s="1"/>
  <c r="N102" i="372"/>
  <c r="P102" i="372" s="1"/>
  <c r="N90" i="372"/>
  <c r="P90" i="372" s="1"/>
  <c r="P76" i="372"/>
  <c r="P50" i="372"/>
  <c r="P46" i="372"/>
  <c r="P44" i="372"/>
  <c r="P40" i="372"/>
  <c r="P22" i="372"/>
  <c r="P20" i="372"/>
  <c r="S4" i="372"/>
  <c r="I3" i="372"/>
  <c r="K8" i="1" s="1"/>
  <c r="N228" i="372"/>
  <c r="P228" i="372" s="1"/>
  <c r="N70" i="372"/>
  <c r="P70" i="372" s="1"/>
  <c r="N56" i="372"/>
  <c r="P56" i="372" s="1"/>
  <c r="N48" i="372"/>
  <c r="P48" i="372" s="1"/>
  <c r="N42" i="372"/>
  <c r="P42" i="372" s="1"/>
  <c r="N36" i="372"/>
  <c r="P36" i="372" s="1"/>
  <c r="N32" i="372"/>
  <c r="P32" i="372" s="1"/>
  <c r="N26" i="372"/>
  <c r="P26" i="372" s="1"/>
  <c r="N22" i="372"/>
  <c r="N14" i="372"/>
  <c r="P14" i="372" s="1"/>
  <c r="N8" i="372"/>
  <c r="P8" i="372" s="1"/>
  <c r="N240" i="372"/>
  <c r="P240" i="372" s="1"/>
  <c r="N224" i="372"/>
  <c r="P224" i="372" s="1"/>
  <c r="N208" i="372"/>
  <c r="P208" i="372" s="1"/>
  <c r="N192" i="372"/>
  <c r="P192" i="372" s="1"/>
  <c r="N176" i="372"/>
  <c r="P176" i="372" s="1"/>
  <c r="N160" i="372"/>
  <c r="P160" i="372" s="1"/>
  <c r="N144" i="372"/>
  <c r="P144" i="372" s="1"/>
  <c r="N128" i="372"/>
  <c r="P128" i="372" s="1"/>
  <c r="N112" i="372"/>
  <c r="P112" i="372" s="1"/>
  <c r="N96" i="372"/>
  <c r="P96" i="372" s="1"/>
  <c r="S83" i="372"/>
  <c r="U83" i="372" s="1"/>
  <c r="S81" i="372"/>
  <c r="S79" i="372"/>
  <c r="U79" i="372" s="1"/>
  <c r="S77" i="372"/>
  <c r="U77" i="372" s="1"/>
  <c r="S75" i="372"/>
  <c r="U75" i="372" s="1"/>
  <c r="S73" i="372"/>
  <c r="U73" i="372" s="1"/>
  <c r="S71" i="372"/>
  <c r="U71" i="372" s="1"/>
  <c r="S69" i="372"/>
  <c r="U69" i="372" s="1"/>
  <c r="S67" i="372"/>
  <c r="U67" i="372" s="1"/>
  <c r="S65" i="372"/>
  <c r="U65" i="372" s="1"/>
  <c r="S63" i="372"/>
  <c r="S61" i="372"/>
  <c r="U61" i="372" s="1"/>
  <c r="S59" i="372"/>
  <c r="U59" i="372" s="1"/>
  <c r="S57" i="372"/>
  <c r="U57" i="372" s="1"/>
  <c r="S55" i="372"/>
  <c r="U55" i="372" s="1"/>
  <c r="S53" i="372"/>
  <c r="U53" i="372" s="1"/>
  <c r="S51" i="372"/>
  <c r="U51" i="372" s="1"/>
  <c r="S49" i="372"/>
  <c r="U49" i="372" s="1"/>
  <c r="S47" i="372"/>
  <c r="U47" i="372" s="1"/>
  <c r="S45" i="372"/>
  <c r="U45" i="372" s="1"/>
  <c r="S43" i="372"/>
  <c r="U43" i="372" s="1"/>
  <c r="S41" i="372"/>
  <c r="U41" i="372" s="1"/>
  <c r="S39" i="372"/>
  <c r="S37" i="372"/>
  <c r="U37" i="372" s="1"/>
  <c r="S35" i="372"/>
  <c r="S33" i="372"/>
  <c r="U33" i="372" s="1"/>
  <c r="S31" i="372"/>
  <c r="U31" i="372" s="1"/>
  <c r="S29" i="372"/>
  <c r="U29" i="372" s="1"/>
  <c r="S27" i="372"/>
  <c r="U27" i="372" s="1"/>
  <c r="S25" i="372"/>
  <c r="U25" i="372" s="1"/>
  <c r="S23" i="372"/>
  <c r="U23" i="372" s="1"/>
  <c r="S21" i="372"/>
  <c r="U21" i="372" s="1"/>
  <c r="S19" i="372"/>
  <c r="U19" i="372" s="1"/>
  <c r="S17" i="372"/>
  <c r="S15" i="372"/>
  <c r="S13" i="372"/>
  <c r="U13" i="372" s="1"/>
  <c r="S11" i="372"/>
  <c r="U11" i="372" s="1"/>
  <c r="S9" i="372"/>
  <c r="U9" i="372" s="1"/>
  <c r="S7" i="372"/>
  <c r="U7" i="372" s="1"/>
  <c r="S5" i="372"/>
  <c r="U5" i="372" s="1"/>
  <c r="I4" i="372"/>
  <c r="M8" i="1" s="1"/>
  <c r="N238" i="372"/>
  <c r="P238" i="372" s="1"/>
  <c r="N222" i="372"/>
  <c r="P222" i="372" s="1"/>
  <c r="N206" i="372"/>
  <c r="P206" i="372" s="1"/>
  <c r="N190" i="372"/>
  <c r="P190" i="372" s="1"/>
  <c r="N174" i="372"/>
  <c r="P174" i="372" s="1"/>
  <c r="N158" i="372"/>
  <c r="P158" i="372" s="1"/>
  <c r="N142" i="372"/>
  <c r="P142" i="372" s="1"/>
  <c r="N126" i="372"/>
  <c r="P126" i="372" s="1"/>
  <c r="N110" i="372"/>
  <c r="P110" i="372" s="1"/>
  <c r="N94" i="372"/>
  <c r="P94" i="372" s="1"/>
  <c r="N86" i="372"/>
  <c r="P86" i="372" s="1"/>
  <c r="P83" i="372"/>
  <c r="P75" i="372"/>
  <c r="N4" i="372"/>
  <c r="P4" i="372" s="1"/>
  <c r="U35" i="372"/>
  <c r="U81" i="372"/>
  <c r="N178" i="372"/>
  <c r="P178" i="372" s="1"/>
  <c r="U15" i="372"/>
  <c r="U39" i="372"/>
  <c r="U63" i="372"/>
  <c r="N114" i="372"/>
  <c r="P114" i="372" s="1"/>
  <c r="N130" i="372"/>
  <c r="P130" i="372" s="1"/>
  <c r="U17" i="372"/>
  <c r="P5" i="372"/>
  <c r="P69" i="372"/>
  <c r="N242" i="372"/>
  <c r="P242" i="372" s="1"/>
  <c r="S16" i="371"/>
  <c r="N126" i="371"/>
  <c r="N142" i="371"/>
  <c r="S10" i="371"/>
  <c r="U10" i="371" s="1"/>
  <c r="S18" i="371"/>
  <c r="U18" i="371" s="1"/>
  <c r="N158" i="371"/>
  <c r="P158" i="371" s="1"/>
  <c r="S4" i="371"/>
  <c r="U4" i="371" s="1"/>
  <c r="U107" i="371"/>
  <c r="U91" i="371"/>
  <c r="S253" i="371"/>
  <c r="U253" i="371" s="1"/>
  <c r="S251" i="371"/>
  <c r="U251" i="371" s="1"/>
  <c r="S249" i="371"/>
  <c r="U249" i="371" s="1"/>
  <c r="S247" i="371"/>
  <c r="U247" i="371" s="1"/>
  <c r="S245" i="371"/>
  <c r="U245" i="371" s="1"/>
  <c r="S243" i="371"/>
  <c r="U243" i="371" s="1"/>
  <c r="S241" i="371"/>
  <c r="U241" i="371" s="1"/>
  <c r="S239" i="371"/>
  <c r="U239" i="371" s="1"/>
  <c r="S237" i="371"/>
  <c r="U237" i="371" s="1"/>
  <c r="S235" i="371"/>
  <c r="U235" i="371" s="1"/>
  <c r="S233" i="371"/>
  <c r="U233" i="371" s="1"/>
  <c r="S231" i="371"/>
  <c r="U231" i="371" s="1"/>
  <c r="S229" i="371"/>
  <c r="U229" i="371" s="1"/>
  <c r="S227" i="371"/>
  <c r="U227" i="371" s="1"/>
  <c r="S225" i="371"/>
  <c r="U225" i="371" s="1"/>
  <c r="S223" i="371"/>
  <c r="U223" i="371" s="1"/>
  <c r="S221" i="371"/>
  <c r="U221" i="371" s="1"/>
  <c r="S219" i="371"/>
  <c r="U219" i="371" s="1"/>
  <c r="S217" i="371"/>
  <c r="U217" i="371" s="1"/>
  <c r="S215" i="371"/>
  <c r="U215" i="371" s="1"/>
  <c r="S213" i="371"/>
  <c r="U213" i="371" s="1"/>
  <c r="S211" i="371"/>
  <c r="U211" i="371" s="1"/>
  <c r="S209" i="371"/>
  <c r="U209" i="371" s="1"/>
  <c r="S207" i="371"/>
  <c r="U207" i="371" s="1"/>
  <c r="S205" i="371"/>
  <c r="U205" i="371" s="1"/>
  <c r="S203" i="371"/>
  <c r="U203" i="371" s="1"/>
  <c r="S201" i="371"/>
  <c r="U201" i="371" s="1"/>
  <c r="S199" i="371"/>
  <c r="U199" i="371" s="1"/>
  <c r="S197" i="371"/>
  <c r="U197" i="371" s="1"/>
  <c r="S195" i="371"/>
  <c r="U195" i="371" s="1"/>
  <c r="S193" i="371"/>
  <c r="U193" i="371" s="1"/>
  <c r="S191" i="371"/>
  <c r="U191" i="371" s="1"/>
  <c r="S189" i="371"/>
  <c r="U189" i="371" s="1"/>
  <c r="S187" i="371"/>
  <c r="U187" i="371" s="1"/>
  <c r="S185" i="371"/>
  <c r="U185" i="371" s="1"/>
  <c r="S183" i="371"/>
  <c r="U183" i="371" s="1"/>
  <c r="S181" i="371"/>
  <c r="U181" i="371" s="1"/>
  <c r="S179" i="371"/>
  <c r="U179" i="371" s="1"/>
  <c r="S177" i="371"/>
  <c r="U177" i="371" s="1"/>
  <c r="S175" i="371"/>
  <c r="U175" i="371" s="1"/>
  <c r="S173" i="371"/>
  <c r="U173" i="371" s="1"/>
  <c r="S171" i="371"/>
  <c r="U171" i="371" s="1"/>
  <c r="S169" i="371"/>
  <c r="U169" i="371" s="1"/>
  <c r="S167" i="371"/>
  <c r="U167" i="371" s="1"/>
  <c r="S165" i="371"/>
  <c r="U165" i="371" s="1"/>
  <c r="S163" i="371"/>
  <c r="U163" i="371" s="1"/>
  <c r="S161" i="371"/>
  <c r="U161" i="371" s="1"/>
  <c r="S159" i="371"/>
  <c r="U159" i="371" s="1"/>
  <c r="S157" i="371"/>
  <c r="U157" i="371" s="1"/>
  <c r="S155" i="371"/>
  <c r="U155" i="371" s="1"/>
  <c r="S153" i="371"/>
  <c r="U153" i="371" s="1"/>
  <c r="S151" i="371"/>
  <c r="U151" i="371" s="1"/>
  <c r="S149" i="371"/>
  <c r="U149" i="371" s="1"/>
  <c r="S147" i="371"/>
  <c r="U147" i="371" s="1"/>
  <c r="S145" i="371"/>
  <c r="U145" i="371" s="1"/>
  <c r="S143" i="371"/>
  <c r="U143" i="371" s="1"/>
  <c r="S141" i="371"/>
  <c r="U141" i="371" s="1"/>
  <c r="S139" i="371"/>
  <c r="U139" i="371" s="1"/>
  <c r="S137" i="371"/>
  <c r="U137" i="371" s="1"/>
  <c r="S135" i="371"/>
  <c r="U135" i="371" s="1"/>
  <c r="S133" i="371"/>
  <c r="U133" i="371" s="1"/>
  <c r="S131" i="371"/>
  <c r="U131" i="371" s="1"/>
  <c r="S129" i="371"/>
  <c r="U129" i="371" s="1"/>
  <c r="S127" i="371"/>
  <c r="U127" i="371" s="1"/>
  <c r="S125" i="371"/>
  <c r="U125" i="371" s="1"/>
  <c r="S123" i="371"/>
  <c r="U123" i="371" s="1"/>
  <c r="S121" i="371"/>
  <c r="U121" i="371" s="1"/>
  <c r="S119" i="371"/>
  <c r="U119" i="371" s="1"/>
  <c r="S117" i="371"/>
  <c r="U117" i="371" s="1"/>
  <c r="S115" i="371"/>
  <c r="U115" i="371" s="1"/>
  <c r="S113" i="371"/>
  <c r="U113" i="371" s="1"/>
  <c r="S111" i="371"/>
  <c r="U111" i="371" s="1"/>
  <c r="S109" i="371"/>
  <c r="U109" i="371" s="1"/>
  <c r="S107" i="371"/>
  <c r="S105" i="371"/>
  <c r="U105" i="371" s="1"/>
  <c r="S103" i="371"/>
  <c r="U103" i="371" s="1"/>
  <c r="S101" i="371"/>
  <c r="U101" i="371" s="1"/>
  <c r="S99" i="371"/>
  <c r="U99" i="371" s="1"/>
  <c r="S97" i="371"/>
  <c r="U97" i="371" s="1"/>
  <c r="S95" i="371"/>
  <c r="U95" i="371" s="1"/>
  <c r="S93" i="371"/>
  <c r="U93" i="371" s="1"/>
  <c r="S91" i="371"/>
  <c r="S89" i="371"/>
  <c r="U89" i="371" s="1"/>
  <c r="S87" i="371"/>
  <c r="U87" i="371" s="1"/>
  <c r="S85" i="371"/>
  <c r="U85" i="371" s="1"/>
  <c r="P207" i="371"/>
  <c r="P191" i="371"/>
  <c r="N253" i="371"/>
  <c r="P253" i="371" s="1"/>
  <c r="N251" i="371"/>
  <c r="P251" i="371" s="1"/>
  <c r="N249" i="371"/>
  <c r="P249" i="371" s="1"/>
  <c r="N247" i="371"/>
  <c r="P247" i="371" s="1"/>
  <c r="N245" i="371"/>
  <c r="P245" i="371" s="1"/>
  <c r="N243" i="371"/>
  <c r="P243" i="371" s="1"/>
  <c r="N241" i="371"/>
  <c r="P241" i="371" s="1"/>
  <c r="N239" i="371"/>
  <c r="P239" i="371" s="1"/>
  <c r="N237" i="371"/>
  <c r="P237" i="371" s="1"/>
  <c r="N235" i="371"/>
  <c r="P235" i="371" s="1"/>
  <c r="N233" i="371"/>
  <c r="P233" i="371" s="1"/>
  <c r="N231" i="371"/>
  <c r="P231" i="371" s="1"/>
  <c r="N229" i="371"/>
  <c r="P229" i="371" s="1"/>
  <c r="N227" i="371"/>
  <c r="P227" i="371" s="1"/>
  <c r="N225" i="371"/>
  <c r="P225" i="371" s="1"/>
  <c r="N223" i="371"/>
  <c r="P223" i="371" s="1"/>
  <c r="N221" i="371"/>
  <c r="P221" i="371" s="1"/>
  <c r="N219" i="371"/>
  <c r="P219" i="371" s="1"/>
  <c r="N217" i="371"/>
  <c r="P217" i="371" s="1"/>
  <c r="N215" i="371"/>
  <c r="P215" i="371" s="1"/>
  <c r="N213" i="371"/>
  <c r="P213" i="371" s="1"/>
  <c r="N211" i="371"/>
  <c r="P211" i="371" s="1"/>
  <c r="N209" i="371"/>
  <c r="P209" i="371" s="1"/>
  <c r="N207" i="371"/>
  <c r="N205" i="371"/>
  <c r="P205" i="371" s="1"/>
  <c r="N203" i="371"/>
  <c r="P203" i="371" s="1"/>
  <c r="N201" i="371"/>
  <c r="P201" i="371" s="1"/>
  <c r="N199" i="371"/>
  <c r="P199" i="371" s="1"/>
  <c r="N197" i="371"/>
  <c r="P197" i="371" s="1"/>
  <c r="N195" i="371"/>
  <c r="P195" i="371" s="1"/>
  <c r="N193" i="371"/>
  <c r="P193" i="371" s="1"/>
  <c r="N191" i="371"/>
  <c r="N189" i="371"/>
  <c r="P189" i="371" s="1"/>
  <c r="N187" i="371"/>
  <c r="P187" i="371" s="1"/>
  <c r="N185" i="371"/>
  <c r="P185" i="371" s="1"/>
  <c r="N183" i="371"/>
  <c r="P183" i="371" s="1"/>
  <c r="N181" i="371"/>
  <c r="P181" i="371" s="1"/>
  <c r="N179" i="371"/>
  <c r="P179" i="371" s="1"/>
  <c r="N177" i="371"/>
  <c r="P177" i="371" s="1"/>
  <c r="N175" i="371"/>
  <c r="P175" i="371" s="1"/>
  <c r="N173" i="371"/>
  <c r="P173" i="371" s="1"/>
  <c r="N171" i="371"/>
  <c r="P171" i="371" s="1"/>
  <c r="N169" i="371"/>
  <c r="P169" i="371" s="1"/>
  <c r="N167" i="371"/>
  <c r="P167" i="371" s="1"/>
  <c r="N165" i="371"/>
  <c r="P165" i="371" s="1"/>
  <c r="N163" i="371"/>
  <c r="P163" i="371" s="1"/>
  <c r="N161" i="371"/>
  <c r="P161" i="371" s="1"/>
  <c r="N159" i="371"/>
  <c r="P159" i="371" s="1"/>
  <c r="N157" i="371"/>
  <c r="P157" i="371" s="1"/>
  <c r="N155" i="371"/>
  <c r="P155" i="371" s="1"/>
  <c r="N153" i="371"/>
  <c r="P153" i="371" s="1"/>
  <c r="N151" i="371"/>
  <c r="P151" i="371" s="1"/>
  <c r="N149" i="371"/>
  <c r="P149" i="371" s="1"/>
  <c r="N147" i="371"/>
  <c r="P147" i="371" s="1"/>
  <c r="N145" i="371"/>
  <c r="P145" i="371" s="1"/>
  <c r="N143" i="371"/>
  <c r="P143" i="371" s="1"/>
  <c r="N141" i="371"/>
  <c r="P141" i="371" s="1"/>
  <c r="N139" i="371"/>
  <c r="P139" i="371" s="1"/>
  <c r="N137" i="371"/>
  <c r="P137" i="371" s="1"/>
  <c r="N135" i="371"/>
  <c r="P135" i="371" s="1"/>
  <c r="N133" i="371"/>
  <c r="P133" i="371" s="1"/>
  <c r="N131" i="371"/>
  <c r="P131" i="371" s="1"/>
  <c r="N129" i="371"/>
  <c r="P129" i="371" s="1"/>
  <c r="N127" i="371"/>
  <c r="P127" i="371" s="1"/>
  <c r="N125" i="371"/>
  <c r="P125" i="371" s="1"/>
  <c r="N123" i="371"/>
  <c r="P123" i="371" s="1"/>
  <c r="N121" i="371"/>
  <c r="P121" i="371" s="1"/>
  <c r="N119" i="371"/>
  <c r="P119" i="371" s="1"/>
  <c r="N117" i="371"/>
  <c r="P117" i="371" s="1"/>
  <c r="N115" i="371"/>
  <c r="P115" i="371" s="1"/>
  <c r="N113" i="371"/>
  <c r="P113" i="371" s="1"/>
  <c r="N111" i="371"/>
  <c r="P111" i="371" s="1"/>
  <c r="N109" i="371"/>
  <c r="P109" i="371" s="1"/>
  <c r="N107" i="371"/>
  <c r="P107" i="371" s="1"/>
  <c r="N105" i="371"/>
  <c r="P105" i="371" s="1"/>
  <c r="U236" i="371"/>
  <c r="U204" i="371"/>
  <c r="S252" i="371"/>
  <c r="U252" i="371" s="1"/>
  <c r="S250" i="371"/>
  <c r="U250" i="371" s="1"/>
  <c r="S248" i="371"/>
  <c r="U248" i="371" s="1"/>
  <c r="S246" i="371"/>
  <c r="U246" i="371" s="1"/>
  <c r="S244" i="371"/>
  <c r="U244" i="371" s="1"/>
  <c r="S242" i="371"/>
  <c r="U242" i="371" s="1"/>
  <c r="S240" i="371"/>
  <c r="U240" i="371" s="1"/>
  <c r="S238" i="371"/>
  <c r="U238" i="371" s="1"/>
  <c r="S236" i="371"/>
  <c r="S234" i="371"/>
  <c r="U234" i="371" s="1"/>
  <c r="S232" i="371"/>
  <c r="U232" i="371" s="1"/>
  <c r="S230" i="371"/>
  <c r="U230" i="371" s="1"/>
  <c r="S228" i="371"/>
  <c r="U228" i="371" s="1"/>
  <c r="S226" i="371"/>
  <c r="U226" i="371" s="1"/>
  <c r="S224" i="371"/>
  <c r="U224" i="371" s="1"/>
  <c r="S222" i="371"/>
  <c r="U222" i="371" s="1"/>
  <c r="S220" i="371"/>
  <c r="U220" i="371" s="1"/>
  <c r="S218" i="371"/>
  <c r="U218" i="371" s="1"/>
  <c r="S216" i="371"/>
  <c r="U216" i="371" s="1"/>
  <c r="S214" i="371"/>
  <c r="U214" i="371" s="1"/>
  <c r="S212" i="371"/>
  <c r="U212" i="371" s="1"/>
  <c r="S210" i="371"/>
  <c r="U210" i="371" s="1"/>
  <c r="S208" i="371"/>
  <c r="U208" i="371" s="1"/>
  <c r="S206" i="371"/>
  <c r="U206" i="371" s="1"/>
  <c r="S204" i="371"/>
  <c r="S202" i="371"/>
  <c r="U202" i="371" s="1"/>
  <c r="S200" i="371"/>
  <c r="U200" i="371" s="1"/>
  <c r="S198" i="371"/>
  <c r="U198" i="371" s="1"/>
  <c r="S196" i="371"/>
  <c r="U196" i="371" s="1"/>
  <c r="S194" i="371"/>
  <c r="U194" i="371" s="1"/>
  <c r="S192" i="371"/>
  <c r="U192" i="371" s="1"/>
  <c r="S190" i="371"/>
  <c r="U190" i="371" s="1"/>
  <c r="S188" i="371"/>
  <c r="U188" i="371" s="1"/>
  <c r="S186" i="371"/>
  <c r="U186" i="371" s="1"/>
  <c r="S184" i="371"/>
  <c r="U184" i="371" s="1"/>
  <c r="S182" i="371"/>
  <c r="U182" i="371" s="1"/>
  <c r="S180" i="371"/>
  <c r="U180" i="371" s="1"/>
  <c r="S178" i="371"/>
  <c r="U178" i="371" s="1"/>
  <c r="S176" i="371"/>
  <c r="U176" i="371" s="1"/>
  <c r="S174" i="371"/>
  <c r="U174" i="371" s="1"/>
  <c r="S172" i="371"/>
  <c r="U172" i="371" s="1"/>
  <c r="S170" i="371"/>
  <c r="U170" i="371" s="1"/>
  <c r="S168" i="371"/>
  <c r="U168" i="371" s="1"/>
  <c r="S166" i="371"/>
  <c r="U166" i="371" s="1"/>
  <c r="S164" i="371"/>
  <c r="U164" i="371" s="1"/>
  <c r="S162" i="371"/>
  <c r="U162" i="371" s="1"/>
  <c r="S160" i="371"/>
  <c r="U160" i="371" s="1"/>
  <c r="S158" i="371"/>
  <c r="U158" i="371" s="1"/>
  <c r="S156" i="371"/>
  <c r="U156" i="371" s="1"/>
  <c r="S154" i="371"/>
  <c r="U154" i="371" s="1"/>
  <c r="S152" i="371"/>
  <c r="U152" i="371" s="1"/>
  <c r="S150" i="371"/>
  <c r="U150" i="371" s="1"/>
  <c r="S148" i="371"/>
  <c r="U148" i="371" s="1"/>
  <c r="S146" i="371"/>
  <c r="U146" i="371" s="1"/>
  <c r="S144" i="371"/>
  <c r="U144" i="371" s="1"/>
  <c r="S142" i="371"/>
  <c r="U142" i="371" s="1"/>
  <c r="S140" i="371"/>
  <c r="U140" i="371" s="1"/>
  <c r="S138" i="371"/>
  <c r="U138" i="371" s="1"/>
  <c r="S136" i="371"/>
  <c r="U136" i="371" s="1"/>
  <c r="S134" i="371"/>
  <c r="U134" i="371" s="1"/>
  <c r="S132" i="371"/>
  <c r="U132" i="371" s="1"/>
  <c r="S130" i="371"/>
  <c r="U130" i="371" s="1"/>
  <c r="S128" i="371"/>
  <c r="U128" i="371" s="1"/>
  <c r="S126" i="371"/>
  <c r="U126" i="371" s="1"/>
  <c r="S124" i="371"/>
  <c r="U124" i="371" s="1"/>
  <c r="S122" i="371"/>
  <c r="U122" i="371" s="1"/>
  <c r="S120" i="371"/>
  <c r="U120" i="371" s="1"/>
  <c r="S118" i="371"/>
  <c r="U118" i="371" s="1"/>
  <c r="S116" i="371"/>
  <c r="U116" i="371" s="1"/>
  <c r="S114" i="371"/>
  <c r="U114" i="371" s="1"/>
  <c r="S112" i="371"/>
  <c r="U112" i="371" s="1"/>
  <c r="S110" i="371"/>
  <c r="U110" i="371" s="1"/>
  <c r="S108" i="371"/>
  <c r="U108" i="371" s="1"/>
  <c r="S106" i="371"/>
  <c r="U106" i="371" s="1"/>
  <c r="S104" i="371"/>
  <c r="U104" i="371" s="1"/>
  <c r="S102" i="371"/>
  <c r="U102" i="371" s="1"/>
  <c r="P174" i="371"/>
  <c r="P142" i="371"/>
  <c r="P126" i="371"/>
  <c r="N252" i="371"/>
  <c r="P252" i="371" s="1"/>
  <c r="N236" i="371"/>
  <c r="P236" i="371" s="1"/>
  <c r="N220" i="371"/>
  <c r="P220" i="371" s="1"/>
  <c r="N204" i="371"/>
  <c r="P204" i="371" s="1"/>
  <c r="N188" i="371"/>
  <c r="P188" i="371" s="1"/>
  <c r="N172" i="371"/>
  <c r="P172" i="371" s="1"/>
  <c r="N156" i="371"/>
  <c r="P156" i="371" s="1"/>
  <c r="N140" i="371"/>
  <c r="P140" i="371" s="1"/>
  <c r="P108" i="371"/>
  <c r="N100" i="371"/>
  <c r="P100" i="371" s="1"/>
  <c r="N97" i="371"/>
  <c r="P97" i="371" s="1"/>
  <c r="S94" i="371"/>
  <c r="U94" i="371" s="1"/>
  <c r="N92" i="371"/>
  <c r="N89" i="371"/>
  <c r="S86" i="371"/>
  <c r="N84" i="371"/>
  <c r="P84" i="371" s="1"/>
  <c r="N82" i="371"/>
  <c r="P82" i="371" s="1"/>
  <c r="N80" i="371"/>
  <c r="P80" i="371" s="1"/>
  <c r="N78" i="371"/>
  <c r="P78" i="371" s="1"/>
  <c r="N76" i="371"/>
  <c r="P76" i="371" s="1"/>
  <c r="N74" i="371"/>
  <c r="P74" i="371" s="1"/>
  <c r="N72" i="371"/>
  <c r="N70" i="371"/>
  <c r="N68" i="371"/>
  <c r="N66" i="371"/>
  <c r="P66" i="371" s="1"/>
  <c r="N64" i="371"/>
  <c r="P64" i="371" s="1"/>
  <c r="N62" i="371"/>
  <c r="P62" i="371" s="1"/>
  <c r="N60" i="371"/>
  <c r="P60" i="371" s="1"/>
  <c r="N58" i="371"/>
  <c r="N56" i="371"/>
  <c r="N54" i="371"/>
  <c r="P54" i="371" s="1"/>
  <c r="N52" i="371"/>
  <c r="P52" i="371" s="1"/>
  <c r="N50" i="371"/>
  <c r="N48" i="371"/>
  <c r="P48" i="371" s="1"/>
  <c r="N46" i="371"/>
  <c r="P46" i="371" s="1"/>
  <c r="N44" i="371"/>
  <c r="P44" i="371" s="1"/>
  <c r="N42" i="371"/>
  <c r="N40" i="371"/>
  <c r="P40" i="371" s="1"/>
  <c r="N38" i="371"/>
  <c r="P38" i="371" s="1"/>
  <c r="N36" i="371"/>
  <c r="P36" i="371" s="1"/>
  <c r="N34" i="371"/>
  <c r="N32" i="371"/>
  <c r="P32" i="371" s="1"/>
  <c r="N30" i="371"/>
  <c r="P30" i="371" s="1"/>
  <c r="N28" i="371"/>
  <c r="P28" i="371" s="1"/>
  <c r="N26" i="371"/>
  <c r="N24" i="371"/>
  <c r="N22" i="371"/>
  <c r="N20" i="371"/>
  <c r="P20" i="371" s="1"/>
  <c r="N18" i="371"/>
  <c r="P18" i="371" s="1"/>
  <c r="N16" i="371"/>
  <c r="P16" i="371" s="1"/>
  <c r="N14" i="371"/>
  <c r="N12" i="371"/>
  <c r="P12" i="371" s="1"/>
  <c r="N10" i="371"/>
  <c r="P10" i="371" s="1"/>
  <c r="N8" i="371"/>
  <c r="N6" i="371"/>
  <c r="P6" i="371" s="1"/>
  <c r="N176" i="371"/>
  <c r="P176" i="371" s="1"/>
  <c r="S84" i="371"/>
  <c r="U84" i="371" s="1"/>
  <c r="S74" i="371"/>
  <c r="U74" i="371" s="1"/>
  <c r="S68" i="371"/>
  <c r="U68" i="371" s="1"/>
  <c r="S62" i="371"/>
  <c r="S56" i="371"/>
  <c r="S50" i="371"/>
  <c r="U50" i="371" s="1"/>
  <c r="S44" i="371"/>
  <c r="U44" i="371" s="1"/>
  <c r="S40" i="371"/>
  <c r="S34" i="371"/>
  <c r="S28" i="371"/>
  <c r="U28" i="371" s="1"/>
  <c r="N250" i="371"/>
  <c r="P250" i="371" s="1"/>
  <c r="N234" i="371"/>
  <c r="P234" i="371" s="1"/>
  <c r="N218" i="371"/>
  <c r="P218" i="371" s="1"/>
  <c r="N202" i="371"/>
  <c r="P202" i="371" s="1"/>
  <c r="N186" i="371"/>
  <c r="P186" i="371" s="1"/>
  <c r="N170" i="371"/>
  <c r="P170" i="371" s="1"/>
  <c r="N154" i="371"/>
  <c r="P154" i="371" s="1"/>
  <c r="N138" i="371"/>
  <c r="P138" i="371" s="1"/>
  <c r="N124" i="371"/>
  <c r="P124" i="371" s="1"/>
  <c r="N116" i="371"/>
  <c r="P116" i="371" s="1"/>
  <c r="N108" i="371"/>
  <c r="U63" i="371"/>
  <c r="N4" i="371"/>
  <c r="P4" i="371" s="1"/>
  <c r="N144" i="371"/>
  <c r="P144" i="371" s="1"/>
  <c r="S78" i="371"/>
  <c r="U78" i="371" s="1"/>
  <c r="S70" i="371"/>
  <c r="S64" i="371"/>
  <c r="S58" i="371"/>
  <c r="U58" i="371" s="1"/>
  <c r="S52" i="371"/>
  <c r="S46" i="371"/>
  <c r="U46" i="371" s="1"/>
  <c r="S38" i="371"/>
  <c r="U38" i="371" s="1"/>
  <c r="S32" i="371"/>
  <c r="U32" i="371" s="1"/>
  <c r="S26" i="371"/>
  <c r="N248" i="371"/>
  <c r="P248" i="371" s="1"/>
  <c r="N232" i="371"/>
  <c r="P232" i="371" s="1"/>
  <c r="N216" i="371"/>
  <c r="P216" i="371" s="1"/>
  <c r="N200" i="371"/>
  <c r="P200" i="371" s="1"/>
  <c r="N184" i="371"/>
  <c r="P184" i="371" s="1"/>
  <c r="N168" i="371"/>
  <c r="P168" i="371" s="1"/>
  <c r="N152" i="371"/>
  <c r="P152" i="371" s="1"/>
  <c r="N136" i="371"/>
  <c r="P136" i="371" s="1"/>
  <c r="N102" i="371"/>
  <c r="P102" i="371" s="1"/>
  <c r="N99" i="371"/>
  <c r="P99" i="371" s="1"/>
  <c r="S96" i="371"/>
  <c r="U96" i="371" s="1"/>
  <c r="N94" i="371"/>
  <c r="P94" i="371" s="1"/>
  <c r="N91" i="371"/>
  <c r="P91" i="371" s="1"/>
  <c r="S88" i="371"/>
  <c r="U88" i="371" s="1"/>
  <c r="N86" i="371"/>
  <c r="P86" i="371" s="1"/>
  <c r="S83" i="371"/>
  <c r="U83" i="371" s="1"/>
  <c r="S81" i="371"/>
  <c r="U81" i="371" s="1"/>
  <c r="S79" i="371"/>
  <c r="U79" i="371" s="1"/>
  <c r="S77" i="371"/>
  <c r="U77" i="371" s="1"/>
  <c r="S75" i="371"/>
  <c r="U75" i="371" s="1"/>
  <c r="S73" i="371"/>
  <c r="U73" i="371" s="1"/>
  <c r="S71" i="371"/>
  <c r="U71" i="371" s="1"/>
  <c r="S69" i="371"/>
  <c r="U69" i="371" s="1"/>
  <c r="S67" i="371"/>
  <c r="U67" i="371" s="1"/>
  <c r="S65" i="371"/>
  <c r="U65" i="371" s="1"/>
  <c r="S63" i="371"/>
  <c r="S61" i="371"/>
  <c r="U61" i="371" s="1"/>
  <c r="S59" i="371"/>
  <c r="U59" i="371" s="1"/>
  <c r="S57" i="371"/>
  <c r="U57" i="371" s="1"/>
  <c r="S55" i="371"/>
  <c r="U55" i="371" s="1"/>
  <c r="S53" i="371"/>
  <c r="U53" i="371" s="1"/>
  <c r="S51" i="371"/>
  <c r="U51" i="371" s="1"/>
  <c r="S49" i="371"/>
  <c r="U49" i="371" s="1"/>
  <c r="S47" i="371"/>
  <c r="U47" i="371" s="1"/>
  <c r="S45" i="371"/>
  <c r="U45" i="371" s="1"/>
  <c r="S43" i="371"/>
  <c r="U43" i="371" s="1"/>
  <c r="S41" i="371"/>
  <c r="U41" i="371" s="1"/>
  <c r="S39" i="371"/>
  <c r="U39" i="371" s="1"/>
  <c r="S37" i="371"/>
  <c r="U37" i="371" s="1"/>
  <c r="S35" i="371"/>
  <c r="U35" i="371" s="1"/>
  <c r="S33" i="371"/>
  <c r="U33" i="371" s="1"/>
  <c r="S31" i="371"/>
  <c r="U31" i="371" s="1"/>
  <c r="S29" i="371"/>
  <c r="U29" i="371" s="1"/>
  <c r="S27" i="371"/>
  <c r="U27" i="371" s="1"/>
  <c r="S25" i="371"/>
  <c r="U25" i="371" s="1"/>
  <c r="S23" i="371"/>
  <c r="U23" i="371" s="1"/>
  <c r="S21" i="371"/>
  <c r="U21" i="371" s="1"/>
  <c r="S19" i="371"/>
  <c r="U19" i="371" s="1"/>
  <c r="S17" i="371"/>
  <c r="U17" i="371" s="1"/>
  <c r="S15" i="371"/>
  <c r="U15" i="371" s="1"/>
  <c r="S13" i="371"/>
  <c r="U13" i="371" s="1"/>
  <c r="S11" i="371"/>
  <c r="U11" i="371" s="1"/>
  <c r="S9" i="371"/>
  <c r="U9" i="371" s="1"/>
  <c r="S7" i="371"/>
  <c r="U7" i="371" s="1"/>
  <c r="S5" i="371"/>
  <c r="U5" i="371" s="1"/>
  <c r="I4" i="371"/>
  <c r="M7" i="1" s="1"/>
  <c r="N246" i="371"/>
  <c r="P246" i="371" s="1"/>
  <c r="N230" i="371"/>
  <c r="P230" i="371" s="1"/>
  <c r="N214" i="371"/>
  <c r="P214" i="371" s="1"/>
  <c r="N198" i="371"/>
  <c r="P198" i="371" s="1"/>
  <c r="N182" i="371"/>
  <c r="P182" i="371" s="1"/>
  <c r="N166" i="371"/>
  <c r="P166" i="371" s="1"/>
  <c r="N150" i="371"/>
  <c r="P150" i="371" s="1"/>
  <c r="N134" i="371"/>
  <c r="P134" i="371" s="1"/>
  <c r="N122" i="371"/>
  <c r="P122" i="371" s="1"/>
  <c r="N114" i="371"/>
  <c r="P114" i="371" s="1"/>
  <c r="N106" i="371"/>
  <c r="P106" i="371" s="1"/>
  <c r="P88" i="371"/>
  <c r="P71" i="371"/>
  <c r="N244" i="371"/>
  <c r="P244" i="371" s="1"/>
  <c r="N228" i="371"/>
  <c r="P228" i="371" s="1"/>
  <c r="N212" i="371"/>
  <c r="P212" i="371" s="1"/>
  <c r="N196" i="371"/>
  <c r="P196" i="371" s="1"/>
  <c r="N180" i="371"/>
  <c r="P180" i="371" s="1"/>
  <c r="N164" i="371"/>
  <c r="P164" i="371" s="1"/>
  <c r="N148" i="371"/>
  <c r="P148" i="371" s="1"/>
  <c r="N132" i="371"/>
  <c r="P132" i="371" s="1"/>
  <c r="N101" i="371"/>
  <c r="P101" i="371" s="1"/>
  <c r="S98" i="371"/>
  <c r="U98" i="371" s="1"/>
  <c r="N96" i="371"/>
  <c r="P96" i="371" s="1"/>
  <c r="N93" i="371"/>
  <c r="P93" i="371" s="1"/>
  <c r="S90" i="371"/>
  <c r="U90" i="371" s="1"/>
  <c r="N88" i="371"/>
  <c r="N85" i="371"/>
  <c r="P85" i="371" s="1"/>
  <c r="N83" i="371"/>
  <c r="P83" i="371" s="1"/>
  <c r="N81" i="371"/>
  <c r="P81" i="371" s="1"/>
  <c r="N79" i="371"/>
  <c r="P79" i="371" s="1"/>
  <c r="N77" i="371"/>
  <c r="P77" i="371" s="1"/>
  <c r="N75" i="371"/>
  <c r="P75" i="371" s="1"/>
  <c r="N73" i="371"/>
  <c r="P73" i="371" s="1"/>
  <c r="N71" i="371"/>
  <c r="N69" i="371"/>
  <c r="P69" i="371" s="1"/>
  <c r="N67" i="371"/>
  <c r="P67" i="371" s="1"/>
  <c r="N65" i="371"/>
  <c r="P65" i="371" s="1"/>
  <c r="N63" i="371"/>
  <c r="P63" i="371" s="1"/>
  <c r="N61" i="371"/>
  <c r="P61" i="371" s="1"/>
  <c r="N59" i="371"/>
  <c r="P59" i="371" s="1"/>
  <c r="N57" i="371"/>
  <c r="P57" i="371" s="1"/>
  <c r="N55" i="371"/>
  <c r="P55" i="371" s="1"/>
  <c r="N53" i="371"/>
  <c r="P53" i="371" s="1"/>
  <c r="N51" i="371"/>
  <c r="P51" i="371" s="1"/>
  <c r="N49" i="371"/>
  <c r="P49" i="371" s="1"/>
  <c r="N47" i="371"/>
  <c r="P47" i="371" s="1"/>
  <c r="N45" i="371"/>
  <c r="P45" i="371" s="1"/>
  <c r="N43" i="371"/>
  <c r="P43" i="371" s="1"/>
  <c r="N41" i="371"/>
  <c r="P41" i="371" s="1"/>
  <c r="N39" i="371"/>
  <c r="P39" i="371" s="1"/>
  <c r="N37" i="371"/>
  <c r="P37" i="371" s="1"/>
  <c r="N35" i="371"/>
  <c r="P35" i="371" s="1"/>
  <c r="N33" i="371"/>
  <c r="P33" i="371" s="1"/>
  <c r="N31" i="371"/>
  <c r="P31" i="371" s="1"/>
  <c r="N29" i="371"/>
  <c r="P29" i="371" s="1"/>
  <c r="N27" i="371"/>
  <c r="P27" i="371" s="1"/>
  <c r="N25" i="371"/>
  <c r="P25" i="371" s="1"/>
  <c r="N23" i="371"/>
  <c r="P23" i="371" s="1"/>
  <c r="N21" i="371"/>
  <c r="P21" i="371" s="1"/>
  <c r="N19" i="371"/>
  <c r="P19" i="371" s="1"/>
  <c r="N17" i="371"/>
  <c r="P17" i="371" s="1"/>
  <c r="N15" i="371"/>
  <c r="P15" i="371" s="1"/>
  <c r="N13" i="371"/>
  <c r="P13" i="371" s="1"/>
  <c r="N11" i="371"/>
  <c r="P11" i="371" s="1"/>
  <c r="N9" i="371"/>
  <c r="P9" i="371" s="1"/>
  <c r="N7" i="371"/>
  <c r="P7" i="371" s="1"/>
  <c r="N5" i="371"/>
  <c r="P5" i="371" s="1"/>
  <c r="N240" i="371"/>
  <c r="P240" i="371" s="1"/>
  <c r="N224" i="371"/>
  <c r="P224" i="371" s="1"/>
  <c r="N208" i="371"/>
  <c r="P208" i="371" s="1"/>
  <c r="N192" i="371"/>
  <c r="P192" i="371" s="1"/>
  <c r="N160" i="371"/>
  <c r="P160" i="371" s="1"/>
  <c r="N128" i="371"/>
  <c r="P128" i="371" s="1"/>
  <c r="S100" i="371"/>
  <c r="N98" i="371"/>
  <c r="N95" i="371"/>
  <c r="P95" i="371" s="1"/>
  <c r="S92" i="371"/>
  <c r="U92" i="371" s="1"/>
  <c r="N90" i="371"/>
  <c r="P90" i="371" s="1"/>
  <c r="N87" i="371"/>
  <c r="P87" i="371" s="1"/>
  <c r="S82" i="371"/>
  <c r="U82" i="371" s="1"/>
  <c r="S80" i="371"/>
  <c r="U80" i="371" s="1"/>
  <c r="S76" i="371"/>
  <c r="S72" i="371"/>
  <c r="U72" i="371" s="1"/>
  <c r="S66" i="371"/>
  <c r="U66" i="371" s="1"/>
  <c r="S60" i="371"/>
  <c r="S54" i="371"/>
  <c r="U54" i="371" s="1"/>
  <c r="S48" i="371"/>
  <c r="S42" i="371"/>
  <c r="U42" i="371" s="1"/>
  <c r="S36" i="371"/>
  <c r="U36" i="371" s="1"/>
  <c r="S30" i="371"/>
  <c r="U30" i="371" s="1"/>
  <c r="N242" i="371"/>
  <c r="P242" i="371" s="1"/>
  <c r="N226" i="371"/>
  <c r="P226" i="371" s="1"/>
  <c r="N210" i="371"/>
  <c r="P210" i="371" s="1"/>
  <c r="N194" i="371"/>
  <c r="P194" i="371" s="1"/>
  <c r="N178" i="371"/>
  <c r="P178" i="371" s="1"/>
  <c r="N162" i="371"/>
  <c r="P162" i="371" s="1"/>
  <c r="N146" i="371"/>
  <c r="P146" i="371" s="1"/>
  <c r="N130" i="371"/>
  <c r="P130" i="371" s="1"/>
  <c r="N120" i="371"/>
  <c r="P120" i="371" s="1"/>
  <c r="N112" i="371"/>
  <c r="P112" i="371" s="1"/>
  <c r="N104" i="371"/>
  <c r="P104" i="371" s="1"/>
  <c r="U100" i="371"/>
  <c r="P98" i="371"/>
  <c r="U76" i="371"/>
  <c r="U70" i="371"/>
  <c r="U64" i="371"/>
  <c r="U62" i="371"/>
  <c r="U60" i="371"/>
  <c r="U56" i="371"/>
  <c r="U52" i="371"/>
  <c r="U48" i="371"/>
  <c r="U40" i="371"/>
  <c r="U34" i="371"/>
  <c r="U26" i="371"/>
  <c r="U16" i="371"/>
  <c r="I5" i="371"/>
  <c r="N7" i="1" s="1"/>
  <c r="P72" i="371"/>
  <c r="P26" i="371"/>
  <c r="N190" i="371"/>
  <c r="P190" i="371" s="1"/>
  <c r="S8" i="371"/>
  <c r="U8" i="371" s="1"/>
  <c r="P89" i="371"/>
  <c r="P92" i="371"/>
  <c r="S20" i="371"/>
  <c r="U20" i="371" s="1"/>
  <c r="P22" i="371"/>
  <c r="P34" i="371"/>
  <c r="P50" i="371"/>
  <c r="N103" i="371"/>
  <c r="P103" i="371" s="1"/>
  <c r="N206" i="371"/>
  <c r="P206" i="371" s="1"/>
  <c r="S24" i="371"/>
  <c r="U24" i="371" s="1"/>
  <c r="I3" i="371"/>
  <c r="K7" i="1" s="1"/>
  <c r="P58" i="371"/>
  <c r="S12" i="371"/>
  <c r="U12" i="371" s="1"/>
  <c r="S14" i="371"/>
  <c r="U14" i="371" s="1"/>
  <c r="S22" i="371"/>
  <c r="U22" i="371" s="1"/>
  <c r="P68" i="371"/>
  <c r="N110" i="371"/>
  <c r="P110" i="371" s="1"/>
  <c r="N222" i="371"/>
  <c r="P222" i="371" s="1"/>
  <c r="P56" i="371"/>
  <c r="P42" i="371"/>
  <c r="P14" i="371"/>
  <c r="S6" i="371"/>
  <c r="U6" i="371" s="1"/>
  <c r="P8" i="371"/>
  <c r="P24" i="371"/>
  <c r="P70" i="371"/>
  <c r="U86" i="371"/>
  <c r="N118" i="371"/>
  <c r="P118" i="371" s="1"/>
  <c r="N238" i="371"/>
  <c r="P238" i="371" s="1"/>
  <c r="N190" i="370"/>
  <c r="P190" i="370" s="1"/>
  <c r="S52" i="370"/>
  <c r="S66" i="370"/>
  <c r="S82" i="370"/>
  <c r="N134" i="370"/>
  <c r="N198" i="370"/>
  <c r="S30" i="370"/>
  <c r="U30" i="370" s="1"/>
  <c r="N126" i="370"/>
  <c r="P126" i="370" s="1"/>
  <c r="S8" i="370"/>
  <c r="U8" i="370" s="1"/>
  <c r="S40" i="370"/>
  <c r="N142" i="370"/>
  <c r="S56" i="370"/>
  <c r="U56" i="370" s="1"/>
  <c r="N88" i="370"/>
  <c r="N214" i="370"/>
  <c r="S6" i="370"/>
  <c r="U6" i="370" s="1"/>
  <c r="S38" i="370"/>
  <c r="U38" i="370" s="1"/>
  <c r="S80" i="370"/>
  <c r="S16" i="370"/>
  <c r="U16" i="370" s="1"/>
  <c r="S32" i="370"/>
  <c r="U32" i="370" s="1"/>
  <c r="S68" i="370"/>
  <c r="N206" i="370"/>
  <c r="N150" i="370"/>
  <c r="S10" i="370"/>
  <c r="U10" i="370" s="1"/>
  <c r="S18" i="370"/>
  <c r="U18" i="370" s="1"/>
  <c r="S26" i="370"/>
  <c r="S34" i="370"/>
  <c r="U34" i="370" s="1"/>
  <c r="S42" i="370"/>
  <c r="S72" i="370"/>
  <c r="N94" i="370"/>
  <c r="N158" i="370"/>
  <c r="P158" i="370" s="1"/>
  <c r="N222" i="370"/>
  <c r="P222" i="370" s="1"/>
  <c r="S22" i="370"/>
  <c r="U22" i="370" s="1"/>
  <c r="U26" i="370"/>
  <c r="S44" i="370"/>
  <c r="S58" i="370"/>
  <c r="S74" i="370"/>
  <c r="N102" i="370"/>
  <c r="P102" i="370" s="1"/>
  <c r="N166" i="370"/>
  <c r="P166" i="370" s="1"/>
  <c r="S253" i="370"/>
  <c r="U253" i="370" s="1"/>
  <c r="S251" i="370"/>
  <c r="U251" i="370" s="1"/>
  <c r="S249" i="370"/>
  <c r="U249" i="370" s="1"/>
  <c r="S247" i="370"/>
  <c r="U247" i="370" s="1"/>
  <c r="S245" i="370"/>
  <c r="U245" i="370" s="1"/>
  <c r="S243" i="370"/>
  <c r="U243" i="370" s="1"/>
  <c r="S241" i="370"/>
  <c r="U241" i="370" s="1"/>
  <c r="S239" i="370"/>
  <c r="U239" i="370" s="1"/>
  <c r="S237" i="370"/>
  <c r="U237" i="370" s="1"/>
  <c r="S235" i="370"/>
  <c r="U235" i="370" s="1"/>
  <c r="S233" i="370"/>
  <c r="U233" i="370" s="1"/>
  <c r="S231" i="370"/>
  <c r="U231" i="370" s="1"/>
  <c r="S229" i="370"/>
  <c r="U229" i="370" s="1"/>
  <c r="S227" i="370"/>
  <c r="U227" i="370" s="1"/>
  <c r="S225" i="370"/>
  <c r="U225" i="370" s="1"/>
  <c r="S223" i="370"/>
  <c r="U223" i="370" s="1"/>
  <c r="S221" i="370"/>
  <c r="U221" i="370" s="1"/>
  <c r="S219" i="370"/>
  <c r="U219" i="370" s="1"/>
  <c r="S217" i="370"/>
  <c r="U217" i="370" s="1"/>
  <c r="S215" i="370"/>
  <c r="U215" i="370" s="1"/>
  <c r="S213" i="370"/>
  <c r="U213" i="370" s="1"/>
  <c r="S211" i="370"/>
  <c r="U211" i="370" s="1"/>
  <c r="S209" i="370"/>
  <c r="U209" i="370" s="1"/>
  <c r="S207" i="370"/>
  <c r="U207" i="370" s="1"/>
  <c r="S205" i="370"/>
  <c r="U205" i="370" s="1"/>
  <c r="S203" i="370"/>
  <c r="U203" i="370" s="1"/>
  <c r="S201" i="370"/>
  <c r="U201" i="370" s="1"/>
  <c r="S199" i="370"/>
  <c r="U199" i="370" s="1"/>
  <c r="S197" i="370"/>
  <c r="U197" i="370" s="1"/>
  <c r="S195" i="370"/>
  <c r="U195" i="370" s="1"/>
  <c r="S193" i="370"/>
  <c r="U193" i="370" s="1"/>
  <c r="S191" i="370"/>
  <c r="U191" i="370" s="1"/>
  <c r="S189" i="370"/>
  <c r="U189" i="370" s="1"/>
  <c r="S187" i="370"/>
  <c r="U187" i="370" s="1"/>
  <c r="S185" i="370"/>
  <c r="U185" i="370" s="1"/>
  <c r="S183" i="370"/>
  <c r="U183" i="370" s="1"/>
  <c r="S181" i="370"/>
  <c r="U181" i="370" s="1"/>
  <c r="S179" i="370"/>
  <c r="U179" i="370" s="1"/>
  <c r="S177" i="370"/>
  <c r="U177" i="370" s="1"/>
  <c r="S175" i="370"/>
  <c r="U175" i="370" s="1"/>
  <c r="S173" i="370"/>
  <c r="U173" i="370" s="1"/>
  <c r="S171" i="370"/>
  <c r="U171" i="370" s="1"/>
  <c r="S169" i="370"/>
  <c r="U169" i="370" s="1"/>
  <c r="S167" i="370"/>
  <c r="U167" i="370" s="1"/>
  <c r="S165" i="370"/>
  <c r="U165" i="370" s="1"/>
  <c r="S163" i="370"/>
  <c r="U163" i="370" s="1"/>
  <c r="S161" i="370"/>
  <c r="U161" i="370" s="1"/>
  <c r="S159" i="370"/>
  <c r="U159" i="370" s="1"/>
  <c r="S157" i="370"/>
  <c r="U157" i="370" s="1"/>
  <c r="S155" i="370"/>
  <c r="U155" i="370" s="1"/>
  <c r="S153" i="370"/>
  <c r="U153" i="370" s="1"/>
  <c r="S151" i="370"/>
  <c r="U151" i="370" s="1"/>
  <c r="S149" i="370"/>
  <c r="U149" i="370" s="1"/>
  <c r="S147" i="370"/>
  <c r="U147" i="370" s="1"/>
  <c r="S145" i="370"/>
  <c r="U145" i="370" s="1"/>
  <c r="S143" i="370"/>
  <c r="U143" i="370" s="1"/>
  <c r="S141" i="370"/>
  <c r="U141" i="370" s="1"/>
  <c r="S139" i="370"/>
  <c r="U139" i="370" s="1"/>
  <c r="S137" i="370"/>
  <c r="U137" i="370" s="1"/>
  <c r="S135" i="370"/>
  <c r="U135" i="370" s="1"/>
  <c r="S133" i="370"/>
  <c r="U133" i="370" s="1"/>
  <c r="S131" i="370"/>
  <c r="U131" i="370" s="1"/>
  <c r="S129" i="370"/>
  <c r="U129" i="370" s="1"/>
  <c r="S127" i="370"/>
  <c r="U127" i="370" s="1"/>
  <c r="S125" i="370"/>
  <c r="U125" i="370" s="1"/>
  <c r="S123" i="370"/>
  <c r="U123" i="370" s="1"/>
  <c r="S121" i="370"/>
  <c r="U121" i="370" s="1"/>
  <c r="S119" i="370"/>
  <c r="U119" i="370" s="1"/>
  <c r="S117" i="370"/>
  <c r="U117" i="370" s="1"/>
  <c r="S115" i="370"/>
  <c r="U115" i="370" s="1"/>
  <c r="S113" i="370"/>
  <c r="U113" i="370" s="1"/>
  <c r="S111" i="370"/>
  <c r="U111" i="370" s="1"/>
  <c r="S109" i="370"/>
  <c r="U109" i="370" s="1"/>
  <c r="S107" i="370"/>
  <c r="U107" i="370" s="1"/>
  <c r="S105" i="370"/>
  <c r="U105" i="370" s="1"/>
  <c r="S103" i="370"/>
  <c r="U103" i="370" s="1"/>
  <c r="S101" i="370"/>
  <c r="U101" i="370" s="1"/>
  <c r="S99" i="370"/>
  <c r="U99" i="370" s="1"/>
  <c r="S97" i="370"/>
  <c r="U97" i="370" s="1"/>
  <c r="S95" i="370"/>
  <c r="U95" i="370" s="1"/>
  <c r="S93" i="370"/>
  <c r="U93" i="370" s="1"/>
  <c r="S91" i="370"/>
  <c r="U91" i="370" s="1"/>
  <c r="S89" i="370"/>
  <c r="U89" i="370" s="1"/>
  <c r="S87" i="370"/>
  <c r="U87" i="370" s="1"/>
  <c r="N253" i="370"/>
  <c r="P253" i="370" s="1"/>
  <c r="N251" i="370"/>
  <c r="P251" i="370" s="1"/>
  <c r="N249" i="370"/>
  <c r="P249" i="370" s="1"/>
  <c r="N247" i="370"/>
  <c r="P247" i="370" s="1"/>
  <c r="N245" i="370"/>
  <c r="P245" i="370" s="1"/>
  <c r="N243" i="370"/>
  <c r="P243" i="370" s="1"/>
  <c r="N241" i="370"/>
  <c r="P241" i="370" s="1"/>
  <c r="N239" i="370"/>
  <c r="P239" i="370" s="1"/>
  <c r="N237" i="370"/>
  <c r="P237" i="370" s="1"/>
  <c r="N235" i="370"/>
  <c r="P235" i="370" s="1"/>
  <c r="N233" i="370"/>
  <c r="P233" i="370" s="1"/>
  <c r="N231" i="370"/>
  <c r="P231" i="370" s="1"/>
  <c r="N229" i="370"/>
  <c r="P229" i="370" s="1"/>
  <c r="N227" i="370"/>
  <c r="P227" i="370" s="1"/>
  <c r="N225" i="370"/>
  <c r="P225" i="370" s="1"/>
  <c r="N223" i="370"/>
  <c r="P223" i="370" s="1"/>
  <c r="N221" i="370"/>
  <c r="P221" i="370" s="1"/>
  <c r="N219" i="370"/>
  <c r="P219" i="370" s="1"/>
  <c r="N217" i="370"/>
  <c r="P217" i="370" s="1"/>
  <c r="N215" i="370"/>
  <c r="P215" i="370" s="1"/>
  <c r="N213" i="370"/>
  <c r="P213" i="370" s="1"/>
  <c r="N211" i="370"/>
  <c r="P211" i="370" s="1"/>
  <c r="N209" i="370"/>
  <c r="P209" i="370" s="1"/>
  <c r="N207" i="370"/>
  <c r="P207" i="370" s="1"/>
  <c r="N205" i="370"/>
  <c r="P205" i="370" s="1"/>
  <c r="N203" i="370"/>
  <c r="P203" i="370" s="1"/>
  <c r="N201" i="370"/>
  <c r="P201" i="370" s="1"/>
  <c r="N199" i="370"/>
  <c r="P199" i="370" s="1"/>
  <c r="N197" i="370"/>
  <c r="P197" i="370" s="1"/>
  <c r="N195" i="370"/>
  <c r="P195" i="370" s="1"/>
  <c r="N193" i="370"/>
  <c r="P193" i="370" s="1"/>
  <c r="N191" i="370"/>
  <c r="P191" i="370" s="1"/>
  <c r="N189" i="370"/>
  <c r="P189" i="370" s="1"/>
  <c r="N187" i="370"/>
  <c r="P187" i="370" s="1"/>
  <c r="N185" i="370"/>
  <c r="P185" i="370" s="1"/>
  <c r="N183" i="370"/>
  <c r="P183" i="370" s="1"/>
  <c r="N181" i="370"/>
  <c r="P181" i="370" s="1"/>
  <c r="N179" i="370"/>
  <c r="P179" i="370" s="1"/>
  <c r="N177" i="370"/>
  <c r="P177" i="370" s="1"/>
  <c r="N175" i="370"/>
  <c r="P175" i="370" s="1"/>
  <c r="N173" i="370"/>
  <c r="P173" i="370" s="1"/>
  <c r="N171" i="370"/>
  <c r="P171" i="370" s="1"/>
  <c r="N169" i="370"/>
  <c r="P169" i="370" s="1"/>
  <c r="N167" i="370"/>
  <c r="P167" i="370" s="1"/>
  <c r="N165" i="370"/>
  <c r="P165" i="370" s="1"/>
  <c r="N163" i="370"/>
  <c r="P163" i="370" s="1"/>
  <c r="N161" i="370"/>
  <c r="P161" i="370" s="1"/>
  <c r="N159" i="370"/>
  <c r="P159" i="370" s="1"/>
  <c r="N157" i="370"/>
  <c r="P157" i="370" s="1"/>
  <c r="N155" i="370"/>
  <c r="P155" i="370" s="1"/>
  <c r="N153" i="370"/>
  <c r="P153" i="370" s="1"/>
  <c r="N151" i="370"/>
  <c r="P151" i="370" s="1"/>
  <c r="N149" i="370"/>
  <c r="P149" i="370" s="1"/>
  <c r="N147" i="370"/>
  <c r="P147" i="370" s="1"/>
  <c r="N145" i="370"/>
  <c r="P145" i="370" s="1"/>
  <c r="N143" i="370"/>
  <c r="P143" i="370" s="1"/>
  <c r="N141" i="370"/>
  <c r="P141" i="370" s="1"/>
  <c r="N139" i="370"/>
  <c r="P139" i="370" s="1"/>
  <c r="N137" i="370"/>
  <c r="P137" i="370" s="1"/>
  <c r="N135" i="370"/>
  <c r="P135" i="370" s="1"/>
  <c r="N133" i="370"/>
  <c r="P133" i="370" s="1"/>
  <c r="N131" i="370"/>
  <c r="P131" i="370" s="1"/>
  <c r="N129" i="370"/>
  <c r="P129" i="370" s="1"/>
  <c r="N127" i="370"/>
  <c r="P127" i="370" s="1"/>
  <c r="N125" i="370"/>
  <c r="P125" i="370" s="1"/>
  <c r="N123" i="370"/>
  <c r="P123" i="370" s="1"/>
  <c r="N121" i="370"/>
  <c r="P121" i="370" s="1"/>
  <c r="N119" i="370"/>
  <c r="P119" i="370" s="1"/>
  <c r="N117" i="370"/>
  <c r="P117" i="370" s="1"/>
  <c r="N115" i="370"/>
  <c r="P115" i="370" s="1"/>
  <c r="N113" i="370"/>
  <c r="P113" i="370" s="1"/>
  <c r="N111" i="370"/>
  <c r="P111" i="370" s="1"/>
  <c r="N109" i="370"/>
  <c r="P109" i="370" s="1"/>
  <c r="N107" i="370"/>
  <c r="P107" i="370" s="1"/>
  <c r="N105" i="370"/>
  <c r="P105" i="370" s="1"/>
  <c r="N103" i="370"/>
  <c r="P103" i="370" s="1"/>
  <c r="N101" i="370"/>
  <c r="P101" i="370" s="1"/>
  <c r="N99" i="370"/>
  <c r="P99" i="370" s="1"/>
  <c r="N97" i="370"/>
  <c r="P97" i="370" s="1"/>
  <c r="N95" i="370"/>
  <c r="P95" i="370" s="1"/>
  <c r="N93" i="370"/>
  <c r="P93" i="370" s="1"/>
  <c r="N91" i="370"/>
  <c r="P91" i="370" s="1"/>
  <c r="N89" i="370"/>
  <c r="P89" i="370" s="1"/>
  <c r="N87" i="370"/>
  <c r="P87" i="370" s="1"/>
  <c r="N85" i="370"/>
  <c r="U220" i="370"/>
  <c r="U214" i="370"/>
  <c r="U124" i="370"/>
  <c r="S252" i="370"/>
  <c r="U252" i="370" s="1"/>
  <c r="S250" i="370"/>
  <c r="U250" i="370" s="1"/>
  <c r="S248" i="370"/>
  <c r="U248" i="370" s="1"/>
  <c r="S246" i="370"/>
  <c r="U246" i="370" s="1"/>
  <c r="S244" i="370"/>
  <c r="U244" i="370" s="1"/>
  <c r="S242" i="370"/>
  <c r="U242" i="370" s="1"/>
  <c r="S240" i="370"/>
  <c r="U240" i="370" s="1"/>
  <c r="S238" i="370"/>
  <c r="U238" i="370" s="1"/>
  <c r="S236" i="370"/>
  <c r="U236" i="370" s="1"/>
  <c r="S234" i="370"/>
  <c r="U234" i="370" s="1"/>
  <c r="S232" i="370"/>
  <c r="U232" i="370" s="1"/>
  <c r="S230" i="370"/>
  <c r="U230" i="370" s="1"/>
  <c r="S228" i="370"/>
  <c r="U228" i="370" s="1"/>
  <c r="S226" i="370"/>
  <c r="U226" i="370" s="1"/>
  <c r="S224" i="370"/>
  <c r="U224" i="370" s="1"/>
  <c r="S222" i="370"/>
  <c r="U222" i="370" s="1"/>
  <c r="S220" i="370"/>
  <c r="S218" i="370"/>
  <c r="U218" i="370" s="1"/>
  <c r="S216" i="370"/>
  <c r="U216" i="370" s="1"/>
  <c r="S214" i="370"/>
  <c r="S212" i="370"/>
  <c r="U212" i="370" s="1"/>
  <c r="S210" i="370"/>
  <c r="U210" i="370" s="1"/>
  <c r="S208" i="370"/>
  <c r="U208" i="370" s="1"/>
  <c r="S206" i="370"/>
  <c r="U206" i="370" s="1"/>
  <c r="S204" i="370"/>
  <c r="U204" i="370" s="1"/>
  <c r="S202" i="370"/>
  <c r="U202" i="370" s="1"/>
  <c r="S200" i="370"/>
  <c r="U200" i="370" s="1"/>
  <c r="S198" i="370"/>
  <c r="U198" i="370" s="1"/>
  <c r="S196" i="370"/>
  <c r="U196" i="370" s="1"/>
  <c r="S194" i="370"/>
  <c r="U194" i="370" s="1"/>
  <c r="S192" i="370"/>
  <c r="U192" i="370" s="1"/>
  <c r="S190" i="370"/>
  <c r="U190" i="370" s="1"/>
  <c r="S188" i="370"/>
  <c r="U188" i="370" s="1"/>
  <c r="S186" i="370"/>
  <c r="U186" i="370" s="1"/>
  <c r="S184" i="370"/>
  <c r="U184" i="370" s="1"/>
  <c r="S182" i="370"/>
  <c r="U182" i="370" s="1"/>
  <c r="S180" i="370"/>
  <c r="U180" i="370" s="1"/>
  <c r="S178" i="370"/>
  <c r="U178" i="370" s="1"/>
  <c r="S176" i="370"/>
  <c r="U176" i="370" s="1"/>
  <c r="S174" i="370"/>
  <c r="U174" i="370" s="1"/>
  <c r="S172" i="370"/>
  <c r="U172" i="370" s="1"/>
  <c r="S170" i="370"/>
  <c r="U170" i="370" s="1"/>
  <c r="S168" i="370"/>
  <c r="U168" i="370" s="1"/>
  <c r="S166" i="370"/>
  <c r="U166" i="370" s="1"/>
  <c r="S164" i="370"/>
  <c r="U164" i="370" s="1"/>
  <c r="S162" i="370"/>
  <c r="U162" i="370" s="1"/>
  <c r="S160" i="370"/>
  <c r="U160" i="370" s="1"/>
  <c r="S158" i="370"/>
  <c r="U158" i="370" s="1"/>
  <c r="S156" i="370"/>
  <c r="U156" i="370" s="1"/>
  <c r="S154" i="370"/>
  <c r="U154" i="370" s="1"/>
  <c r="S152" i="370"/>
  <c r="U152" i="370" s="1"/>
  <c r="S150" i="370"/>
  <c r="U150" i="370" s="1"/>
  <c r="S148" i="370"/>
  <c r="U148" i="370" s="1"/>
  <c r="S146" i="370"/>
  <c r="U146" i="370" s="1"/>
  <c r="S144" i="370"/>
  <c r="U144" i="370" s="1"/>
  <c r="S142" i="370"/>
  <c r="U142" i="370" s="1"/>
  <c r="S140" i="370"/>
  <c r="U140" i="370" s="1"/>
  <c r="S138" i="370"/>
  <c r="U138" i="370" s="1"/>
  <c r="S136" i="370"/>
  <c r="U136" i="370" s="1"/>
  <c r="S134" i="370"/>
  <c r="U134" i="370" s="1"/>
  <c r="S132" i="370"/>
  <c r="U132" i="370" s="1"/>
  <c r="S130" i="370"/>
  <c r="U130" i="370" s="1"/>
  <c r="S128" i="370"/>
  <c r="U128" i="370" s="1"/>
  <c r="S126" i="370"/>
  <c r="U126" i="370" s="1"/>
  <c r="S124" i="370"/>
  <c r="S122" i="370"/>
  <c r="U122" i="370" s="1"/>
  <c r="S120" i="370"/>
  <c r="U120" i="370" s="1"/>
  <c r="S118" i="370"/>
  <c r="U118" i="370" s="1"/>
  <c r="S116" i="370"/>
  <c r="U116" i="370" s="1"/>
  <c r="S114" i="370"/>
  <c r="U114" i="370" s="1"/>
  <c r="S112" i="370"/>
  <c r="U112" i="370" s="1"/>
  <c r="S110" i="370"/>
  <c r="U110" i="370" s="1"/>
  <c r="S108" i="370"/>
  <c r="U108" i="370" s="1"/>
  <c r="S106" i="370"/>
  <c r="U106" i="370" s="1"/>
  <c r="S104" i="370"/>
  <c r="U104" i="370" s="1"/>
  <c r="S102" i="370"/>
  <c r="U102" i="370" s="1"/>
  <c r="S100" i="370"/>
  <c r="U100" i="370" s="1"/>
  <c r="S98" i="370"/>
  <c r="U98" i="370" s="1"/>
  <c r="S96" i="370"/>
  <c r="U96" i="370" s="1"/>
  <c r="S94" i="370"/>
  <c r="U94" i="370" s="1"/>
  <c r="S92" i="370"/>
  <c r="U92" i="370" s="1"/>
  <c r="S90" i="370"/>
  <c r="U90" i="370" s="1"/>
  <c r="S4" i="370"/>
  <c r="I3" i="370"/>
  <c r="K6" i="1" s="1"/>
  <c r="N252" i="370"/>
  <c r="P252" i="370" s="1"/>
  <c r="N244" i="370"/>
  <c r="P244" i="370" s="1"/>
  <c r="N236" i="370"/>
  <c r="P236" i="370" s="1"/>
  <c r="N228" i="370"/>
  <c r="P228" i="370" s="1"/>
  <c r="N220" i="370"/>
  <c r="P220" i="370" s="1"/>
  <c r="N212" i="370"/>
  <c r="P212" i="370" s="1"/>
  <c r="N204" i="370"/>
  <c r="P204" i="370" s="1"/>
  <c r="N196" i="370"/>
  <c r="P196" i="370" s="1"/>
  <c r="N188" i="370"/>
  <c r="P188" i="370" s="1"/>
  <c r="N180" i="370"/>
  <c r="P180" i="370" s="1"/>
  <c r="N172" i="370"/>
  <c r="P172" i="370" s="1"/>
  <c r="N164" i="370"/>
  <c r="P164" i="370" s="1"/>
  <c r="N156" i="370"/>
  <c r="P156" i="370" s="1"/>
  <c r="N148" i="370"/>
  <c r="P148" i="370" s="1"/>
  <c r="N140" i="370"/>
  <c r="P140" i="370" s="1"/>
  <c r="N132" i="370"/>
  <c r="P132" i="370" s="1"/>
  <c r="N124" i="370"/>
  <c r="P124" i="370" s="1"/>
  <c r="N116" i="370"/>
  <c r="P116" i="370" s="1"/>
  <c r="N108" i="370"/>
  <c r="P108" i="370" s="1"/>
  <c r="N100" i="370"/>
  <c r="P100" i="370" s="1"/>
  <c r="N92" i="370"/>
  <c r="P92" i="370" s="1"/>
  <c r="S86" i="370"/>
  <c r="U86" i="370" s="1"/>
  <c r="N84" i="370"/>
  <c r="P84" i="370" s="1"/>
  <c r="N82" i="370"/>
  <c r="P82" i="370" s="1"/>
  <c r="N80" i="370"/>
  <c r="P80" i="370" s="1"/>
  <c r="N78" i="370"/>
  <c r="P78" i="370" s="1"/>
  <c r="N76" i="370"/>
  <c r="P76" i="370" s="1"/>
  <c r="N74" i="370"/>
  <c r="P74" i="370" s="1"/>
  <c r="N72" i="370"/>
  <c r="P72" i="370" s="1"/>
  <c r="N70" i="370"/>
  <c r="P70" i="370" s="1"/>
  <c r="N68" i="370"/>
  <c r="P68" i="370" s="1"/>
  <c r="N66" i="370"/>
  <c r="P66" i="370" s="1"/>
  <c r="N64" i="370"/>
  <c r="P64" i="370" s="1"/>
  <c r="N62" i="370"/>
  <c r="P62" i="370" s="1"/>
  <c r="N60" i="370"/>
  <c r="P60" i="370" s="1"/>
  <c r="N58" i="370"/>
  <c r="P58" i="370" s="1"/>
  <c r="N56" i="370"/>
  <c r="P56" i="370" s="1"/>
  <c r="N54" i="370"/>
  <c r="P54" i="370" s="1"/>
  <c r="N52" i="370"/>
  <c r="P52" i="370" s="1"/>
  <c r="N50" i="370"/>
  <c r="P50" i="370" s="1"/>
  <c r="N48" i="370"/>
  <c r="P48" i="370" s="1"/>
  <c r="N46" i="370"/>
  <c r="P46" i="370" s="1"/>
  <c r="N44" i="370"/>
  <c r="P44" i="370" s="1"/>
  <c r="N42" i="370"/>
  <c r="P42" i="370" s="1"/>
  <c r="N40" i="370"/>
  <c r="P40" i="370" s="1"/>
  <c r="N38" i="370"/>
  <c r="P38" i="370" s="1"/>
  <c r="N36" i="370"/>
  <c r="P36" i="370" s="1"/>
  <c r="N34" i="370"/>
  <c r="P34" i="370" s="1"/>
  <c r="N32" i="370"/>
  <c r="P32" i="370" s="1"/>
  <c r="N30" i="370"/>
  <c r="P30" i="370" s="1"/>
  <c r="N28" i="370"/>
  <c r="P28" i="370" s="1"/>
  <c r="N26" i="370"/>
  <c r="P26" i="370" s="1"/>
  <c r="N24" i="370"/>
  <c r="P24" i="370" s="1"/>
  <c r="N22" i="370"/>
  <c r="P22" i="370" s="1"/>
  <c r="N20" i="370"/>
  <c r="P20" i="370" s="1"/>
  <c r="N18" i="370"/>
  <c r="P18" i="370" s="1"/>
  <c r="N16" i="370"/>
  <c r="P16" i="370" s="1"/>
  <c r="N14" i="370"/>
  <c r="P14" i="370" s="1"/>
  <c r="N12" i="370"/>
  <c r="P12" i="370" s="1"/>
  <c r="N10" i="370"/>
  <c r="P10" i="370" s="1"/>
  <c r="N8" i="370"/>
  <c r="P8" i="370" s="1"/>
  <c r="N6" i="370"/>
  <c r="P6" i="370" s="1"/>
  <c r="P194" i="370"/>
  <c r="P170" i="370"/>
  <c r="U33" i="370"/>
  <c r="U17" i="370"/>
  <c r="N4" i="370"/>
  <c r="P206" i="370"/>
  <c r="P142" i="370"/>
  <c r="P88" i="370"/>
  <c r="U80" i="370"/>
  <c r="U74" i="370"/>
  <c r="U66" i="370"/>
  <c r="U42" i="370"/>
  <c r="N250" i="370"/>
  <c r="P250" i="370" s="1"/>
  <c r="N242" i="370"/>
  <c r="P242" i="370" s="1"/>
  <c r="N234" i="370"/>
  <c r="P234" i="370" s="1"/>
  <c r="N226" i="370"/>
  <c r="P226" i="370" s="1"/>
  <c r="N218" i="370"/>
  <c r="P218" i="370" s="1"/>
  <c r="N210" i="370"/>
  <c r="P210" i="370" s="1"/>
  <c r="N202" i="370"/>
  <c r="P202" i="370" s="1"/>
  <c r="N194" i="370"/>
  <c r="N186" i="370"/>
  <c r="P186" i="370" s="1"/>
  <c r="N178" i="370"/>
  <c r="P178" i="370" s="1"/>
  <c r="N170" i="370"/>
  <c r="N162" i="370"/>
  <c r="P162" i="370" s="1"/>
  <c r="N154" i="370"/>
  <c r="P154" i="370" s="1"/>
  <c r="N146" i="370"/>
  <c r="P146" i="370" s="1"/>
  <c r="N138" i="370"/>
  <c r="P138" i="370" s="1"/>
  <c r="N130" i="370"/>
  <c r="P130" i="370" s="1"/>
  <c r="N122" i="370"/>
  <c r="P122" i="370" s="1"/>
  <c r="N114" i="370"/>
  <c r="P114" i="370" s="1"/>
  <c r="N106" i="370"/>
  <c r="P106" i="370" s="1"/>
  <c r="N98" i="370"/>
  <c r="P98" i="370" s="1"/>
  <c r="N90" i="370"/>
  <c r="P90" i="370" s="1"/>
  <c r="N86" i="370"/>
  <c r="P86" i="370" s="1"/>
  <c r="S83" i="370"/>
  <c r="U83" i="370" s="1"/>
  <c r="S81" i="370"/>
  <c r="U81" i="370" s="1"/>
  <c r="S79" i="370"/>
  <c r="U79" i="370" s="1"/>
  <c r="S77" i="370"/>
  <c r="U77" i="370" s="1"/>
  <c r="S75" i="370"/>
  <c r="U75" i="370" s="1"/>
  <c r="S73" i="370"/>
  <c r="U73" i="370" s="1"/>
  <c r="S71" i="370"/>
  <c r="U71" i="370" s="1"/>
  <c r="S69" i="370"/>
  <c r="U69" i="370" s="1"/>
  <c r="S67" i="370"/>
  <c r="U67" i="370" s="1"/>
  <c r="S65" i="370"/>
  <c r="U65" i="370" s="1"/>
  <c r="S63" i="370"/>
  <c r="U63" i="370" s="1"/>
  <c r="S61" i="370"/>
  <c r="U61" i="370" s="1"/>
  <c r="S59" i="370"/>
  <c r="U59" i="370" s="1"/>
  <c r="S57" i="370"/>
  <c r="U57" i="370" s="1"/>
  <c r="S55" i="370"/>
  <c r="U55" i="370" s="1"/>
  <c r="S53" i="370"/>
  <c r="U53" i="370" s="1"/>
  <c r="S51" i="370"/>
  <c r="U51" i="370" s="1"/>
  <c r="S49" i="370"/>
  <c r="U49" i="370" s="1"/>
  <c r="S47" i="370"/>
  <c r="U47" i="370" s="1"/>
  <c r="S45" i="370"/>
  <c r="U45" i="370" s="1"/>
  <c r="S43" i="370"/>
  <c r="U43" i="370" s="1"/>
  <c r="S41" i="370"/>
  <c r="U41" i="370" s="1"/>
  <c r="S39" i="370"/>
  <c r="U39" i="370" s="1"/>
  <c r="S37" i="370"/>
  <c r="U37" i="370" s="1"/>
  <c r="S35" i="370"/>
  <c r="U35" i="370" s="1"/>
  <c r="S33" i="370"/>
  <c r="S31" i="370"/>
  <c r="U31" i="370" s="1"/>
  <c r="S29" i="370"/>
  <c r="U29" i="370" s="1"/>
  <c r="S27" i="370"/>
  <c r="U27" i="370" s="1"/>
  <c r="S25" i="370"/>
  <c r="U25" i="370" s="1"/>
  <c r="S23" i="370"/>
  <c r="U23" i="370" s="1"/>
  <c r="S21" i="370"/>
  <c r="U21" i="370" s="1"/>
  <c r="S19" i="370"/>
  <c r="U19" i="370" s="1"/>
  <c r="S17" i="370"/>
  <c r="S15" i="370"/>
  <c r="U15" i="370" s="1"/>
  <c r="S13" i="370"/>
  <c r="U13" i="370" s="1"/>
  <c r="S11" i="370"/>
  <c r="U11" i="370" s="1"/>
  <c r="S9" i="370"/>
  <c r="U9" i="370" s="1"/>
  <c r="S7" i="370"/>
  <c r="U7" i="370" s="1"/>
  <c r="S5" i="370"/>
  <c r="U5" i="370" s="1"/>
  <c r="I4" i="370"/>
  <c r="M6" i="1" s="1"/>
  <c r="P136" i="370"/>
  <c r="S85" i="370"/>
  <c r="U85" i="370" s="1"/>
  <c r="P83" i="370"/>
  <c r="P51" i="370"/>
  <c r="P19" i="370"/>
  <c r="N248" i="370"/>
  <c r="P248" i="370" s="1"/>
  <c r="N240" i="370"/>
  <c r="P240" i="370" s="1"/>
  <c r="N232" i="370"/>
  <c r="P232" i="370" s="1"/>
  <c r="N224" i="370"/>
  <c r="P224" i="370" s="1"/>
  <c r="N216" i="370"/>
  <c r="P216" i="370" s="1"/>
  <c r="N208" i="370"/>
  <c r="P208" i="370" s="1"/>
  <c r="N200" i="370"/>
  <c r="P200" i="370" s="1"/>
  <c r="N192" i="370"/>
  <c r="P192" i="370" s="1"/>
  <c r="N184" i="370"/>
  <c r="P184" i="370" s="1"/>
  <c r="N176" i="370"/>
  <c r="P176" i="370" s="1"/>
  <c r="N168" i="370"/>
  <c r="P168" i="370" s="1"/>
  <c r="N160" i="370"/>
  <c r="P160" i="370" s="1"/>
  <c r="N152" i="370"/>
  <c r="P152" i="370" s="1"/>
  <c r="N144" i="370"/>
  <c r="P144" i="370" s="1"/>
  <c r="N136" i="370"/>
  <c r="N128" i="370"/>
  <c r="P128" i="370" s="1"/>
  <c r="N120" i="370"/>
  <c r="P120" i="370" s="1"/>
  <c r="N112" i="370"/>
  <c r="P112" i="370" s="1"/>
  <c r="N104" i="370"/>
  <c r="P104" i="370" s="1"/>
  <c r="N96" i="370"/>
  <c r="P96" i="370" s="1"/>
  <c r="S88" i="370"/>
  <c r="U88" i="370" s="1"/>
  <c r="P85" i="370"/>
  <c r="N83" i="370"/>
  <c r="N81" i="370"/>
  <c r="P81" i="370" s="1"/>
  <c r="N79" i="370"/>
  <c r="P79" i="370" s="1"/>
  <c r="N77" i="370"/>
  <c r="P77" i="370" s="1"/>
  <c r="N75" i="370"/>
  <c r="P75" i="370" s="1"/>
  <c r="N73" i="370"/>
  <c r="P73" i="370" s="1"/>
  <c r="N71" i="370"/>
  <c r="P71" i="370" s="1"/>
  <c r="N69" i="370"/>
  <c r="P69" i="370" s="1"/>
  <c r="N67" i="370"/>
  <c r="P67" i="370" s="1"/>
  <c r="N65" i="370"/>
  <c r="P65" i="370" s="1"/>
  <c r="N63" i="370"/>
  <c r="P63" i="370" s="1"/>
  <c r="N61" i="370"/>
  <c r="P61" i="370" s="1"/>
  <c r="N59" i="370"/>
  <c r="P59" i="370" s="1"/>
  <c r="N57" i="370"/>
  <c r="P57" i="370" s="1"/>
  <c r="N55" i="370"/>
  <c r="P55" i="370" s="1"/>
  <c r="N53" i="370"/>
  <c r="P53" i="370" s="1"/>
  <c r="N51" i="370"/>
  <c r="N49" i="370"/>
  <c r="P49" i="370" s="1"/>
  <c r="N47" i="370"/>
  <c r="P47" i="370" s="1"/>
  <c r="N45" i="370"/>
  <c r="P45" i="370" s="1"/>
  <c r="N43" i="370"/>
  <c r="P43" i="370" s="1"/>
  <c r="N41" i="370"/>
  <c r="P41" i="370" s="1"/>
  <c r="N39" i="370"/>
  <c r="P39" i="370" s="1"/>
  <c r="N37" i="370"/>
  <c r="P37" i="370" s="1"/>
  <c r="N35" i="370"/>
  <c r="P35" i="370" s="1"/>
  <c r="N33" i="370"/>
  <c r="P33" i="370" s="1"/>
  <c r="N31" i="370"/>
  <c r="P31" i="370" s="1"/>
  <c r="N29" i="370"/>
  <c r="P29" i="370" s="1"/>
  <c r="N27" i="370"/>
  <c r="P27" i="370" s="1"/>
  <c r="N25" i="370"/>
  <c r="P25" i="370" s="1"/>
  <c r="N23" i="370"/>
  <c r="P23" i="370" s="1"/>
  <c r="N21" i="370"/>
  <c r="P21" i="370" s="1"/>
  <c r="N19" i="370"/>
  <c r="N17" i="370"/>
  <c r="P17" i="370" s="1"/>
  <c r="N15" i="370"/>
  <c r="P15" i="370" s="1"/>
  <c r="N13" i="370"/>
  <c r="P13" i="370" s="1"/>
  <c r="N11" i="370"/>
  <c r="P11" i="370" s="1"/>
  <c r="N9" i="370"/>
  <c r="P9" i="370" s="1"/>
  <c r="N7" i="370"/>
  <c r="P7" i="370" s="1"/>
  <c r="N5" i="370"/>
  <c r="P5" i="370" s="1"/>
  <c r="P230" i="370"/>
  <c r="P214" i="370"/>
  <c r="P198" i="370"/>
  <c r="P150" i="370"/>
  <c r="P134" i="370"/>
  <c r="P94" i="370"/>
  <c r="U82" i="370"/>
  <c r="U72" i="370"/>
  <c r="U68" i="370"/>
  <c r="U58" i="370"/>
  <c r="U52" i="370"/>
  <c r="U44" i="370"/>
  <c r="U40" i="370"/>
  <c r="U4" i="370"/>
  <c r="S36" i="370"/>
  <c r="S46" i="370"/>
  <c r="U46" i="370" s="1"/>
  <c r="S60" i="370"/>
  <c r="U60" i="370" s="1"/>
  <c r="S76" i="370"/>
  <c r="U76" i="370" s="1"/>
  <c r="N110" i="370"/>
  <c r="P110" i="370" s="1"/>
  <c r="N174" i="370"/>
  <c r="P174" i="370" s="1"/>
  <c r="N238" i="370"/>
  <c r="P238" i="370" s="1"/>
  <c r="S14" i="370"/>
  <c r="U14" i="370" s="1"/>
  <c r="S50" i="370"/>
  <c r="U50" i="370" s="1"/>
  <c r="S64" i="370"/>
  <c r="U64" i="370" s="1"/>
  <c r="S24" i="370"/>
  <c r="U24" i="370" s="1"/>
  <c r="S54" i="370"/>
  <c r="U54" i="370" s="1"/>
  <c r="S84" i="370"/>
  <c r="U84" i="370" s="1"/>
  <c r="S70" i="370"/>
  <c r="U70" i="370" s="1"/>
  <c r="S12" i="370"/>
  <c r="U12" i="370" s="1"/>
  <c r="S20" i="370"/>
  <c r="U20" i="370" s="1"/>
  <c r="S28" i="370"/>
  <c r="U28" i="370" s="1"/>
  <c r="I5" i="370"/>
  <c r="N6" i="1" s="1"/>
  <c r="U36" i="370"/>
  <c r="S48" i="370"/>
  <c r="U48" i="370" s="1"/>
  <c r="S62" i="370"/>
  <c r="U62" i="370" s="1"/>
  <c r="S78" i="370"/>
  <c r="U78" i="370" s="1"/>
  <c r="N118" i="370"/>
  <c r="P118" i="370" s="1"/>
  <c r="N182" i="370"/>
  <c r="P182" i="370" s="1"/>
  <c r="N246" i="370"/>
  <c r="P246" i="370" s="1"/>
  <c r="N17" i="369"/>
  <c r="N33" i="369"/>
  <c r="N55" i="369"/>
  <c r="N57" i="369"/>
  <c r="N49" i="369"/>
  <c r="N59" i="369"/>
  <c r="N35" i="369"/>
  <c r="N5" i="369"/>
  <c r="P5" i="369" s="1"/>
  <c r="N37" i="369"/>
  <c r="P37" i="369" s="1"/>
  <c r="N7" i="369"/>
  <c r="N23" i="369"/>
  <c r="N9" i="369"/>
  <c r="N25" i="369"/>
  <c r="N11" i="369"/>
  <c r="P11" i="369" s="1"/>
  <c r="N43" i="369"/>
  <c r="N13" i="369"/>
  <c r="P13" i="369" s="1"/>
  <c r="N29" i="369"/>
  <c r="P29" i="369" s="1"/>
  <c r="N45" i="369"/>
  <c r="U103" i="369"/>
  <c r="S253" i="369"/>
  <c r="U253" i="369" s="1"/>
  <c r="S251" i="369"/>
  <c r="U251" i="369" s="1"/>
  <c r="S249" i="369"/>
  <c r="U249" i="369" s="1"/>
  <c r="S247" i="369"/>
  <c r="U247" i="369" s="1"/>
  <c r="S245" i="369"/>
  <c r="U245" i="369" s="1"/>
  <c r="S243" i="369"/>
  <c r="U243" i="369" s="1"/>
  <c r="S241" i="369"/>
  <c r="U241" i="369" s="1"/>
  <c r="S239" i="369"/>
  <c r="U239" i="369" s="1"/>
  <c r="S237" i="369"/>
  <c r="U237" i="369" s="1"/>
  <c r="S235" i="369"/>
  <c r="U235" i="369" s="1"/>
  <c r="S233" i="369"/>
  <c r="U233" i="369" s="1"/>
  <c r="S231" i="369"/>
  <c r="U231" i="369" s="1"/>
  <c r="S229" i="369"/>
  <c r="U229" i="369" s="1"/>
  <c r="S227" i="369"/>
  <c r="U227" i="369" s="1"/>
  <c r="S225" i="369"/>
  <c r="U225" i="369" s="1"/>
  <c r="S223" i="369"/>
  <c r="U223" i="369" s="1"/>
  <c r="S221" i="369"/>
  <c r="U221" i="369" s="1"/>
  <c r="S219" i="369"/>
  <c r="U219" i="369" s="1"/>
  <c r="S217" i="369"/>
  <c r="U217" i="369" s="1"/>
  <c r="S215" i="369"/>
  <c r="U215" i="369" s="1"/>
  <c r="S213" i="369"/>
  <c r="U213" i="369" s="1"/>
  <c r="S211" i="369"/>
  <c r="U211" i="369" s="1"/>
  <c r="S209" i="369"/>
  <c r="U209" i="369" s="1"/>
  <c r="S207" i="369"/>
  <c r="U207" i="369" s="1"/>
  <c r="S205" i="369"/>
  <c r="U205" i="369" s="1"/>
  <c r="S203" i="369"/>
  <c r="U203" i="369" s="1"/>
  <c r="S201" i="369"/>
  <c r="U201" i="369" s="1"/>
  <c r="S199" i="369"/>
  <c r="U199" i="369" s="1"/>
  <c r="S197" i="369"/>
  <c r="U197" i="369" s="1"/>
  <c r="S195" i="369"/>
  <c r="U195" i="369" s="1"/>
  <c r="S193" i="369"/>
  <c r="U193" i="369" s="1"/>
  <c r="S191" i="369"/>
  <c r="U191" i="369" s="1"/>
  <c r="S189" i="369"/>
  <c r="U189" i="369" s="1"/>
  <c r="S187" i="369"/>
  <c r="U187" i="369" s="1"/>
  <c r="S185" i="369"/>
  <c r="U185" i="369" s="1"/>
  <c r="S183" i="369"/>
  <c r="U183" i="369" s="1"/>
  <c r="S181" i="369"/>
  <c r="U181" i="369" s="1"/>
  <c r="S179" i="369"/>
  <c r="U179" i="369" s="1"/>
  <c r="S177" i="369"/>
  <c r="U177" i="369" s="1"/>
  <c r="S175" i="369"/>
  <c r="U175" i="369" s="1"/>
  <c r="S173" i="369"/>
  <c r="U173" i="369" s="1"/>
  <c r="S171" i="369"/>
  <c r="U171" i="369" s="1"/>
  <c r="S169" i="369"/>
  <c r="U169" i="369" s="1"/>
  <c r="S167" i="369"/>
  <c r="U167" i="369" s="1"/>
  <c r="S165" i="369"/>
  <c r="U165" i="369" s="1"/>
  <c r="S163" i="369"/>
  <c r="U163" i="369" s="1"/>
  <c r="S161" i="369"/>
  <c r="U161" i="369" s="1"/>
  <c r="S159" i="369"/>
  <c r="U159" i="369" s="1"/>
  <c r="S157" i="369"/>
  <c r="U157" i="369" s="1"/>
  <c r="S155" i="369"/>
  <c r="U155" i="369" s="1"/>
  <c r="S153" i="369"/>
  <c r="U153" i="369" s="1"/>
  <c r="S151" i="369"/>
  <c r="U151" i="369" s="1"/>
  <c r="S149" i="369"/>
  <c r="U149" i="369" s="1"/>
  <c r="S147" i="369"/>
  <c r="U147" i="369" s="1"/>
  <c r="S145" i="369"/>
  <c r="U145" i="369" s="1"/>
  <c r="S143" i="369"/>
  <c r="U143" i="369" s="1"/>
  <c r="S141" i="369"/>
  <c r="U141" i="369" s="1"/>
  <c r="S139" i="369"/>
  <c r="U139" i="369" s="1"/>
  <c r="S137" i="369"/>
  <c r="U137" i="369" s="1"/>
  <c r="S135" i="369"/>
  <c r="U135" i="369" s="1"/>
  <c r="S133" i="369"/>
  <c r="U133" i="369" s="1"/>
  <c r="S131" i="369"/>
  <c r="U131" i="369" s="1"/>
  <c r="S129" i="369"/>
  <c r="U129" i="369" s="1"/>
  <c r="S127" i="369"/>
  <c r="U127" i="369" s="1"/>
  <c r="S125" i="369"/>
  <c r="U125" i="369" s="1"/>
  <c r="S123" i="369"/>
  <c r="U123" i="369" s="1"/>
  <c r="S121" i="369"/>
  <c r="U121" i="369" s="1"/>
  <c r="S119" i="369"/>
  <c r="U119" i="369" s="1"/>
  <c r="S117" i="369"/>
  <c r="U117" i="369" s="1"/>
  <c r="S115" i="369"/>
  <c r="U115" i="369" s="1"/>
  <c r="S113" i="369"/>
  <c r="U113" i="369" s="1"/>
  <c r="S111" i="369"/>
  <c r="U111" i="369" s="1"/>
  <c r="S109" i="369"/>
  <c r="U109" i="369" s="1"/>
  <c r="S107" i="369"/>
  <c r="U107" i="369" s="1"/>
  <c r="S105" i="369"/>
  <c r="U105" i="369" s="1"/>
  <c r="S103" i="369"/>
  <c r="S101" i="369"/>
  <c r="U101" i="369" s="1"/>
  <c r="S99" i="369"/>
  <c r="U99" i="369" s="1"/>
  <c r="S97" i="369"/>
  <c r="U97" i="369" s="1"/>
  <c r="S95" i="369"/>
  <c r="U95" i="369" s="1"/>
  <c r="S93" i="369"/>
  <c r="U93" i="369" s="1"/>
  <c r="S91" i="369"/>
  <c r="U91" i="369" s="1"/>
  <c r="S89" i="369"/>
  <c r="U89" i="369" s="1"/>
  <c r="S87" i="369"/>
  <c r="U87" i="369" s="1"/>
  <c r="S85" i="369"/>
  <c r="U85" i="369" s="1"/>
  <c r="P251" i="369"/>
  <c r="P235" i="369"/>
  <c r="P123" i="369"/>
  <c r="P107" i="369"/>
  <c r="N253" i="369"/>
  <c r="P253" i="369" s="1"/>
  <c r="N251" i="369"/>
  <c r="N249" i="369"/>
  <c r="P249" i="369" s="1"/>
  <c r="N247" i="369"/>
  <c r="P247" i="369" s="1"/>
  <c r="N245" i="369"/>
  <c r="P245" i="369" s="1"/>
  <c r="N243" i="369"/>
  <c r="P243" i="369" s="1"/>
  <c r="N241" i="369"/>
  <c r="P241" i="369" s="1"/>
  <c r="N239" i="369"/>
  <c r="P239" i="369" s="1"/>
  <c r="N237" i="369"/>
  <c r="P237" i="369" s="1"/>
  <c r="N235" i="369"/>
  <c r="N233" i="369"/>
  <c r="P233" i="369" s="1"/>
  <c r="N231" i="369"/>
  <c r="P231" i="369" s="1"/>
  <c r="N229" i="369"/>
  <c r="P229" i="369" s="1"/>
  <c r="N227" i="369"/>
  <c r="P227" i="369" s="1"/>
  <c r="N225" i="369"/>
  <c r="P225" i="369" s="1"/>
  <c r="N223" i="369"/>
  <c r="P223" i="369" s="1"/>
  <c r="N221" i="369"/>
  <c r="P221" i="369" s="1"/>
  <c r="N219" i="369"/>
  <c r="P219" i="369" s="1"/>
  <c r="N217" i="369"/>
  <c r="P217" i="369" s="1"/>
  <c r="N215" i="369"/>
  <c r="P215" i="369" s="1"/>
  <c r="N213" i="369"/>
  <c r="P213" i="369" s="1"/>
  <c r="N211" i="369"/>
  <c r="P211" i="369" s="1"/>
  <c r="N209" i="369"/>
  <c r="P209" i="369" s="1"/>
  <c r="N207" i="369"/>
  <c r="P207" i="369" s="1"/>
  <c r="N205" i="369"/>
  <c r="P205" i="369" s="1"/>
  <c r="N203" i="369"/>
  <c r="P203" i="369" s="1"/>
  <c r="N201" i="369"/>
  <c r="P201" i="369" s="1"/>
  <c r="N199" i="369"/>
  <c r="P199" i="369" s="1"/>
  <c r="N197" i="369"/>
  <c r="P197" i="369" s="1"/>
  <c r="N195" i="369"/>
  <c r="P195" i="369" s="1"/>
  <c r="N193" i="369"/>
  <c r="P193" i="369" s="1"/>
  <c r="N191" i="369"/>
  <c r="P191" i="369" s="1"/>
  <c r="N189" i="369"/>
  <c r="P189" i="369" s="1"/>
  <c r="N187" i="369"/>
  <c r="P187" i="369" s="1"/>
  <c r="N185" i="369"/>
  <c r="P185" i="369" s="1"/>
  <c r="N183" i="369"/>
  <c r="P183" i="369" s="1"/>
  <c r="N181" i="369"/>
  <c r="P181" i="369" s="1"/>
  <c r="N179" i="369"/>
  <c r="P179" i="369" s="1"/>
  <c r="N177" i="369"/>
  <c r="P177" i="369" s="1"/>
  <c r="N175" i="369"/>
  <c r="P175" i="369" s="1"/>
  <c r="N173" i="369"/>
  <c r="P173" i="369" s="1"/>
  <c r="N171" i="369"/>
  <c r="P171" i="369" s="1"/>
  <c r="N169" i="369"/>
  <c r="P169" i="369" s="1"/>
  <c r="N167" i="369"/>
  <c r="P167" i="369" s="1"/>
  <c r="N165" i="369"/>
  <c r="P165" i="369" s="1"/>
  <c r="N163" i="369"/>
  <c r="P163" i="369" s="1"/>
  <c r="N161" i="369"/>
  <c r="P161" i="369" s="1"/>
  <c r="N159" i="369"/>
  <c r="P159" i="369" s="1"/>
  <c r="N157" i="369"/>
  <c r="P157" i="369" s="1"/>
  <c r="N155" i="369"/>
  <c r="P155" i="369" s="1"/>
  <c r="N153" i="369"/>
  <c r="P153" i="369" s="1"/>
  <c r="N151" i="369"/>
  <c r="P151" i="369" s="1"/>
  <c r="N149" i="369"/>
  <c r="P149" i="369" s="1"/>
  <c r="N147" i="369"/>
  <c r="P147" i="369" s="1"/>
  <c r="N145" i="369"/>
  <c r="P145" i="369" s="1"/>
  <c r="N143" i="369"/>
  <c r="P143" i="369" s="1"/>
  <c r="N141" i="369"/>
  <c r="P141" i="369" s="1"/>
  <c r="N139" i="369"/>
  <c r="P139" i="369" s="1"/>
  <c r="N137" i="369"/>
  <c r="P137" i="369" s="1"/>
  <c r="N135" i="369"/>
  <c r="P135" i="369" s="1"/>
  <c r="N133" i="369"/>
  <c r="P133" i="369" s="1"/>
  <c r="N131" i="369"/>
  <c r="P131" i="369" s="1"/>
  <c r="N129" i="369"/>
  <c r="P129" i="369" s="1"/>
  <c r="N127" i="369"/>
  <c r="P127" i="369" s="1"/>
  <c r="N125" i="369"/>
  <c r="P125" i="369" s="1"/>
  <c r="N123" i="369"/>
  <c r="N121" i="369"/>
  <c r="P121" i="369" s="1"/>
  <c r="N119" i="369"/>
  <c r="P119" i="369" s="1"/>
  <c r="N117" i="369"/>
  <c r="P117" i="369" s="1"/>
  <c r="N115" i="369"/>
  <c r="P115" i="369" s="1"/>
  <c r="N113" i="369"/>
  <c r="P113" i="369" s="1"/>
  <c r="N111" i="369"/>
  <c r="P111" i="369" s="1"/>
  <c r="N109" i="369"/>
  <c r="P109" i="369" s="1"/>
  <c r="N107" i="369"/>
  <c r="U210" i="369"/>
  <c r="U194" i="369"/>
  <c r="S252" i="369"/>
  <c r="U252" i="369" s="1"/>
  <c r="S250" i="369"/>
  <c r="U250" i="369" s="1"/>
  <c r="S248" i="369"/>
  <c r="U248" i="369" s="1"/>
  <c r="S246" i="369"/>
  <c r="U246" i="369" s="1"/>
  <c r="S244" i="369"/>
  <c r="U244" i="369" s="1"/>
  <c r="S242" i="369"/>
  <c r="U242" i="369" s="1"/>
  <c r="S240" i="369"/>
  <c r="U240" i="369" s="1"/>
  <c r="S238" i="369"/>
  <c r="U238" i="369" s="1"/>
  <c r="S236" i="369"/>
  <c r="U236" i="369" s="1"/>
  <c r="S234" i="369"/>
  <c r="U234" i="369" s="1"/>
  <c r="S232" i="369"/>
  <c r="U232" i="369" s="1"/>
  <c r="S230" i="369"/>
  <c r="U230" i="369" s="1"/>
  <c r="S228" i="369"/>
  <c r="U228" i="369" s="1"/>
  <c r="S226" i="369"/>
  <c r="U226" i="369" s="1"/>
  <c r="S224" i="369"/>
  <c r="U224" i="369" s="1"/>
  <c r="S222" i="369"/>
  <c r="U222" i="369" s="1"/>
  <c r="S220" i="369"/>
  <c r="U220" i="369" s="1"/>
  <c r="S218" i="369"/>
  <c r="U218" i="369" s="1"/>
  <c r="S216" i="369"/>
  <c r="U216" i="369" s="1"/>
  <c r="S214" i="369"/>
  <c r="U214" i="369" s="1"/>
  <c r="S212" i="369"/>
  <c r="U212" i="369" s="1"/>
  <c r="S210" i="369"/>
  <c r="S208" i="369"/>
  <c r="U208" i="369" s="1"/>
  <c r="S206" i="369"/>
  <c r="U206" i="369" s="1"/>
  <c r="S204" i="369"/>
  <c r="U204" i="369" s="1"/>
  <c r="S202" i="369"/>
  <c r="U202" i="369" s="1"/>
  <c r="S200" i="369"/>
  <c r="U200" i="369" s="1"/>
  <c r="S198" i="369"/>
  <c r="U198" i="369" s="1"/>
  <c r="S196" i="369"/>
  <c r="U196" i="369" s="1"/>
  <c r="S194" i="369"/>
  <c r="S192" i="369"/>
  <c r="U192" i="369" s="1"/>
  <c r="S190" i="369"/>
  <c r="U190" i="369" s="1"/>
  <c r="S188" i="369"/>
  <c r="U188" i="369" s="1"/>
  <c r="S186" i="369"/>
  <c r="U186" i="369" s="1"/>
  <c r="S184" i="369"/>
  <c r="U184" i="369" s="1"/>
  <c r="S182" i="369"/>
  <c r="U182" i="369" s="1"/>
  <c r="S180" i="369"/>
  <c r="U180" i="369" s="1"/>
  <c r="S178" i="369"/>
  <c r="U178" i="369" s="1"/>
  <c r="S176" i="369"/>
  <c r="U176" i="369" s="1"/>
  <c r="S174" i="369"/>
  <c r="U174" i="369" s="1"/>
  <c r="S172" i="369"/>
  <c r="U172" i="369" s="1"/>
  <c r="S170" i="369"/>
  <c r="U170" i="369" s="1"/>
  <c r="S168" i="369"/>
  <c r="U168" i="369" s="1"/>
  <c r="S166" i="369"/>
  <c r="U166" i="369" s="1"/>
  <c r="S164" i="369"/>
  <c r="U164" i="369" s="1"/>
  <c r="S162" i="369"/>
  <c r="U162" i="369" s="1"/>
  <c r="S160" i="369"/>
  <c r="U160" i="369" s="1"/>
  <c r="S158" i="369"/>
  <c r="U158" i="369" s="1"/>
  <c r="S156" i="369"/>
  <c r="U156" i="369" s="1"/>
  <c r="S154" i="369"/>
  <c r="U154" i="369" s="1"/>
  <c r="S152" i="369"/>
  <c r="U152" i="369" s="1"/>
  <c r="S150" i="369"/>
  <c r="U150" i="369" s="1"/>
  <c r="S148" i="369"/>
  <c r="U148" i="369" s="1"/>
  <c r="S146" i="369"/>
  <c r="U146" i="369" s="1"/>
  <c r="S144" i="369"/>
  <c r="U144" i="369" s="1"/>
  <c r="S142" i="369"/>
  <c r="U142" i="369" s="1"/>
  <c r="S140" i="369"/>
  <c r="U140" i="369" s="1"/>
  <c r="S138" i="369"/>
  <c r="U138" i="369" s="1"/>
  <c r="S136" i="369"/>
  <c r="U136" i="369" s="1"/>
  <c r="S134" i="369"/>
  <c r="U134" i="369" s="1"/>
  <c r="S132" i="369"/>
  <c r="U132" i="369" s="1"/>
  <c r="S130" i="369"/>
  <c r="U130" i="369" s="1"/>
  <c r="S128" i="369"/>
  <c r="U128" i="369" s="1"/>
  <c r="S126" i="369"/>
  <c r="U126" i="369" s="1"/>
  <c r="S124" i="369"/>
  <c r="U124" i="369" s="1"/>
  <c r="S122" i="369"/>
  <c r="U122" i="369" s="1"/>
  <c r="S120" i="369"/>
  <c r="U120" i="369" s="1"/>
  <c r="S118" i="369"/>
  <c r="U118" i="369" s="1"/>
  <c r="S116" i="369"/>
  <c r="U116" i="369" s="1"/>
  <c r="S114" i="369"/>
  <c r="U114" i="369" s="1"/>
  <c r="S112" i="369"/>
  <c r="U112" i="369" s="1"/>
  <c r="S110" i="369"/>
  <c r="U110" i="369" s="1"/>
  <c r="S108" i="369"/>
  <c r="U108" i="369" s="1"/>
  <c r="S106" i="369"/>
  <c r="U106" i="369" s="1"/>
  <c r="S104" i="369"/>
  <c r="U104" i="369" s="1"/>
  <c r="S102" i="369"/>
  <c r="U102" i="369" s="1"/>
  <c r="S100" i="369"/>
  <c r="U100" i="369" s="1"/>
  <c r="S98" i="369"/>
  <c r="U98" i="369" s="1"/>
  <c r="S96" i="369"/>
  <c r="U96" i="369" s="1"/>
  <c r="S94" i="369"/>
  <c r="U94" i="369" s="1"/>
  <c r="S92" i="369"/>
  <c r="U92" i="369" s="1"/>
  <c r="S90" i="369"/>
  <c r="U90" i="369" s="1"/>
  <c r="S88" i="369"/>
  <c r="U88" i="369" s="1"/>
  <c r="S86" i="369"/>
  <c r="U86" i="369" s="1"/>
  <c r="S84" i="369"/>
  <c r="U84" i="369" s="1"/>
  <c r="P154" i="369"/>
  <c r="P138" i="369"/>
  <c r="N252" i="369"/>
  <c r="P252" i="369" s="1"/>
  <c r="N236" i="369"/>
  <c r="P236" i="369" s="1"/>
  <c r="N220" i="369"/>
  <c r="P220" i="369" s="1"/>
  <c r="N204" i="369"/>
  <c r="P204" i="369" s="1"/>
  <c r="N188" i="369"/>
  <c r="P188" i="369" s="1"/>
  <c r="N172" i="369"/>
  <c r="P172" i="369" s="1"/>
  <c r="N156" i="369"/>
  <c r="P156" i="369" s="1"/>
  <c r="N140" i="369"/>
  <c r="P140" i="369" s="1"/>
  <c r="N124" i="369"/>
  <c r="P124" i="369" s="1"/>
  <c r="N108" i="369"/>
  <c r="P108" i="369" s="1"/>
  <c r="N101" i="369"/>
  <c r="P101" i="369" s="1"/>
  <c r="N96" i="369"/>
  <c r="N85" i="369"/>
  <c r="P85" i="369" s="1"/>
  <c r="U62" i="369"/>
  <c r="U58" i="369"/>
  <c r="U30" i="369"/>
  <c r="I5" i="369"/>
  <c r="N5" i="1" s="1"/>
  <c r="N250" i="369"/>
  <c r="P250" i="369" s="1"/>
  <c r="N234" i="369"/>
  <c r="P234" i="369" s="1"/>
  <c r="N218" i="369"/>
  <c r="P218" i="369" s="1"/>
  <c r="N202" i="369"/>
  <c r="P202" i="369" s="1"/>
  <c r="N186" i="369"/>
  <c r="P186" i="369" s="1"/>
  <c r="N170" i="369"/>
  <c r="P170" i="369" s="1"/>
  <c r="N154" i="369"/>
  <c r="N138" i="369"/>
  <c r="N122" i="369"/>
  <c r="P122" i="369" s="1"/>
  <c r="N106" i="369"/>
  <c r="P106" i="369" s="1"/>
  <c r="N95" i="369"/>
  <c r="P95" i="369" s="1"/>
  <c r="N90" i="369"/>
  <c r="P90" i="369" s="1"/>
  <c r="S82" i="369"/>
  <c r="U82" i="369" s="1"/>
  <c r="S80" i="369"/>
  <c r="U80" i="369" s="1"/>
  <c r="S78" i="369"/>
  <c r="U78" i="369" s="1"/>
  <c r="S76" i="369"/>
  <c r="U76" i="369" s="1"/>
  <c r="S74" i="369"/>
  <c r="U74" i="369" s="1"/>
  <c r="S72" i="369"/>
  <c r="U72" i="369" s="1"/>
  <c r="S70" i="369"/>
  <c r="U70" i="369" s="1"/>
  <c r="S68" i="369"/>
  <c r="U68" i="369" s="1"/>
  <c r="S66" i="369"/>
  <c r="U66" i="369" s="1"/>
  <c r="S64" i="369"/>
  <c r="U64" i="369" s="1"/>
  <c r="S62" i="369"/>
  <c r="S60" i="369"/>
  <c r="U60" i="369" s="1"/>
  <c r="S58" i="369"/>
  <c r="S56" i="369"/>
  <c r="U56" i="369" s="1"/>
  <c r="S54" i="369"/>
  <c r="U54" i="369" s="1"/>
  <c r="S52" i="369"/>
  <c r="U52" i="369" s="1"/>
  <c r="S50" i="369"/>
  <c r="U50" i="369" s="1"/>
  <c r="S48" i="369"/>
  <c r="U48" i="369" s="1"/>
  <c r="S46" i="369"/>
  <c r="U46" i="369" s="1"/>
  <c r="S44" i="369"/>
  <c r="U44" i="369" s="1"/>
  <c r="S42" i="369"/>
  <c r="U42" i="369" s="1"/>
  <c r="S40" i="369"/>
  <c r="U40" i="369" s="1"/>
  <c r="S38" i="369"/>
  <c r="U38" i="369" s="1"/>
  <c r="S36" i="369"/>
  <c r="U36" i="369" s="1"/>
  <c r="S34" i="369"/>
  <c r="U34" i="369" s="1"/>
  <c r="S32" i="369"/>
  <c r="U32" i="369" s="1"/>
  <c r="S30" i="369"/>
  <c r="S28" i="369"/>
  <c r="U28" i="369" s="1"/>
  <c r="S26" i="369"/>
  <c r="U26" i="369" s="1"/>
  <c r="S24" i="369"/>
  <c r="U24" i="369" s="1"/>
  <c r="S22" i="369"/>
  <c r="U22" i="369" s="1"/>
  <c r="S20" i="369"/>
  <c r="U20" i="369" s="1"/>
  <c r="S18" i="369"/>
  <c r="U18" i="369" s="1"/>
  <c r="S16" i="369"/>
  <c r="U16" i="369" s="1"/>
  <c r="S14" i="369"/>
  <c r="U14" i="369" s="1"/>
  <c r="S12" i="369"/>
  <c r="U12" i="369" s="1"/>
  <c r="S10" i="369"/>
  <c r="U10" i="369" s="1"/>
  <c r="S8" i="369"/>
  <c r="U8" i="369" s="1"/>
  <c r="S6" i="369"/>
  <c r="U6" i="369" s="1"/>
  <c r="N4" i="369"/>
  <c r="N224" i="369"/>
  <c r="P224" i="369" s="1"/>
  <c r="N112" i="369"/>
  <c r="P112" i="369" s="1"/>
  <c r="N92" i="369"/>
  <c r="P92" i="369" s="1"/>
  <c r="P65" i="369"/>
  <c r="P57" i="369"/>
  <c r="P43" i="369"/>
  <c r="P17" i="369"/>
  <c r="N248" i="369"/>
  <c r="P248" i="369" s="1"/>
  <c r="N232" i="369"/>
  <c r="P232" i="369" s="1"/>
  <c r="N216" i="369"/>
  <c r="P216" i="369" s="1"/>
  <c r="N200" i="369"/>
  <c r="P200" i="369" s="1"/>
  <c r="N184" i="369"/>
  <c r="P184" i="369" s="1"/>
  <c r="N168" i="369"/>
  <c r="P168" i="369" s="1"/>
  <c r="N152" i="369"/>
  <c r="P152" i="369" s="1"/>
  <c r="N136" i="369"/>
  <c r="P136" i="369" s="1"/>
  <c r="N120" i="369"/>
  <c r="P120" i="369" s="1"/>
  <c r="N105" i="369"/>
  <c r="P105" i="369" s="1"/>
  <c r="N100" i="369"/>
  <c r="P100" i="369" s="1"/>
  <c r="N89" i="369"/>
  <c r="P89" i="369" s="1"/>
  <c r="P64" i="369"/>
  <c r="P62" i="369"/>
  <c r="S4" i="369"/>
  <c r="I3" i="369"/>
  <c r="K5" i="1" s="1"/>
  <c r="U25" i="369"/>
  <c r="N240" i="369"/>
  <c r="P240" i="369" s="1"/>
  <c r="N176" i="369"/>
  <c r="P176" i="369" s="1"/>
  <c r="N160" i="369"/>
  <c r="P160" i="369" s="1"/>
  <c r="N144" i="369"/>
  <c r="P144" i="369" s="1"/>
  <c r="N128" i="369"/>
  <c r="P128" i="369" s="1"/>
  <c r="N97" i="369"/>
  <c r="P97" i="369" s="1"/>
  <c r="P81" i="369"/>
  <c r="P59" i="369"/>
  <c r="P45" i="369"/>
  <c r="P33" i="369"/>
  <c r="P23" i="369"/>
  <c r="P7" i="369"/>
  <c r="N238" i="369"/>
  <c r="P238" i="369" s="1"/>
  <c r="N174" i="369"/>
  <c r="P174" i="369" s="1"/>
  <c r="N142" i="369"/>
  <c r="P142" i="369" s="1"/>
  <c r="N110" i="369"/>
  <c r="P110" i="369" s="1"/>
  <c r="N91" i="369"/>
  <c r="P91" i="369" s="1"/>
  <c r="N81" i="369"/>
  <c r="N77" i="369"/>
  <c r="P77" i="369" s="1"/>
  <c r="N71" i="369"/>
  <c r="P71" i="369" s="1"/>
  <c r="N63" i="369"/>
  <c r="N246" i="369"/>
  <c r="P246" i="369" s="1"/>
  <c r="N230" i="369"/>
  <c r="P230" i="369" s="1"/>
  <c r="N214" i="369"/>
  <c r="P214" i="369" s="1"/>
  <c r="N198" i="369"/>
  <c r="P198" i="369" s="1"/>
  <c r="N182" i="369"/>
  <c r="P182" i="369" s="1"/>
  <c r="N166" i="369"/>
  <c r="P166" i="369" s="1"/>
  <c r="N150" i="369"/>
  <c r="P150" i="369" s="1"/>
  <c r="N134" i="369"/>
  <c r="P134" i="369" s="1"/>
  <c r="N118" i="369"/>
  <c r="P118" i="369" s="1"/>
  <c r="N99" i="369"/>
  <c r="P99" i="369" s="1"/>
  <c r="N94" i="369"/>
  <c r="P94" i="369" s="1"/>
  <c r="N84" i="369"/>
  <c r="P84" i="369" s="1"/>
  <c r="N82" i="369"/>
  <c r="P82" i="369" s="1"/>
  <c r="N80" i="369"/>
  <c r="P80" i="369" s="1"/>
  <c r="N78" i="369"/>
  <c r="P78" i="369" s="1"/>
  <c r="N76" i="369"/>
  <c r="P76" i="369" s="1"/>
  <c r="N74" i="369"/>
  <c r="P74" i="369" s="1"/>
  <c r="N72" i="369"/>
  <c r="P72" i="369" s="1"/>
  <c r="N70" i="369"/>
  <c r="P70" i="369" s="1"/>
  <c r="N68" i="369"/>
  <c r="P68" i="369" s="1"/>
  <c r="N66" i="369"/>
  <c r="P66" i="369" s="1"/>
  <c r="N64" i="369"/>
  <c r="N62" i="369"/>
  <c r="N60" i="369"/>
  <c r="P60" i="369" s="1"/>
  <c r="N58" i="369"/>
  <c r="P58" i="369" s="1"/>
  <c r="N56" i="369"/>
  <c r="P56" i="369" s="1"/>
  <c r="N54" i="369"/>
  <c r="P54" i="369" s="1"/>
  <c r="N52" i="369"/>
  <c r="P52" i="369" s="1"/>
  <c r="N50" i="369"/>
  <c r="P50" i="369" s="1"/>
  <c r="N48" i="369"/>
  <c r="P48" i="369" s="1"/>
  <c r="N46" i="369"/>
  <c r="P46" i="369" s="1"/>
  <c r="N44" i="369"/>
  <c r="P44" i="369" s="1"/>
  <c r="N42" i="369"/>
  <c r="P42" i="369" s="1"/>
  <c r="N40" i="369"/>
  <c r="P40" i="369" s="1"/>
  <c r="N38" i="369"/>
  <c r="P38" i="369" s="1"/>
  <c r="N36" i="369"/>
  <c r="P36" i="369" s="1"/>
  <c r="N34" i="369"/>
  <c r="P34" i="369" s="1"/>
  <c r="N32" i="369"/>
  <c r="P32" i="369" s="1"/>
  <c r="N30" i="369"/>
  <c r="P30" i="369" s="1"/>
  <c r="N28" i="369"/>
  <c r="P28" i="369" s="1"/>
  <c r="N26" i="369"/>
  <c r="P26" i="369" s="1"/>
  <c r="N24" i="369"/>
  <c r="P24" i="369" s="1"/>
  <c r="N22" i="369"/>
  <c r="P22" i="369" s="1"/>
  <c r="N20" i="369"/>
  <c r="P20" i="369" s="1"/>
  <c r="N18" i="369"/>
  <c r="P18" i="369" s="1"/>
  <c r="N16" i="369"/>
  <c r="P16" i="369" s="1"/>
  <c r="N14" i="369"/>
  <c r="P14" i="369" s="1"/>
  <c r="N12" i="369"/>
  <c r="P12" i="369" s="1"/>
  <c r="N10" i="369"/>
  <c r="P10" i="369" s="1"/>
  <c r="N8" i="369"/>
  <c r="P8" i="369" s="1"/>
  <c r="N6" i="369"/>
  <c r="P6" i="369" s="1"/>
  <c r="P4" i="369"/>
  <c r="N192" i="369"/>
  <c r="P192" i="369" s="1"/>
  <c r="P55" i="369"/>
  <c r="P49" i="369"/>
  <c r="P35" i="369"/>
  <c r="P25" i="369"/>
  <c r="N244" i="369"/>
  <c r="P244" i="369" s="1"/>
  <c r="N228" i="369"/>
  <c r="P228" i="369" s="1"/>
  <c r="N212" i="369"/>
  <c r="P212" i="369" s="1"/>
  <c r="N196" i="369"/>
  <c r="P196" i="369" s="1"/>
  <c r="N180" i="369"/>
  <c r="P180" i="369" s="1"/>
  <c r="N164" i="369"/>
  <c r="P164" i="369" s="1"/>
  <c r="N148" i="369"/>
  <c r="P148" i="369" s="1"/>
  <c r="N132" i="369"/>
  <c r="P132" i="369" s="1"/>
  <c r="N116" i="369"/>
  <c r="P116" i="369" s="1"/>
  <c r="N104" i="369"/>
  <c r="P104" i="369" s="1"/>
  <c r="N93" i="369"/>
  <c r="P93" i="369" s="1"/>
  <c r="N88" i="369"/>
  <c r="P88" i="369" s="1"/>
  <c r="P63" i="369"/>
  <c r="P9" i="369"/>
  <c r="N206" i="369"/>
  <c r="P206" i="369" s="1"/>
  <c r="N242" i="369"/>
  <c r="P242" i="369" s="1"/>
  <c r="N226" i="369"/>
  <c r="P226" i="369" s="1"/>
  <c r="N210" i="369"/>
  <c r="P210" i="369" s="1"/>
  <c r="N194" i="369"/>
  <c r="P194" i="369" s="1"/>
  <c r="N178" i="369"/>
  <c r="P178" i="369" s="1"/>
  <c r="N162" i="369"/>
  <c r="P162" i="369" s="1"/>
  <c r="N146" i="369"/>
  <c r="P146" i="369" s="1"/>
  <c r="N130" i="369"/>
  <c r="P130" i="369" s="1"/>
  <c r="N114" i="369"/>
  <c r="P114" i="369" s="1"/>
  <c r="N103" i="369"/>
  <c r="P103" i="369" s="1"/>
  <c r="N98" i="369"/>
  <c r="P98" i="369" s="1"/>
  <c r="N87" i="369"/>
  <c r="P87" i="369" s="1"/>
  <c r="S83" i="369"/>
  <c r="U83" i="369" s="1"/>
  <c r="S81" i="369"/>
  <c r="U81" i="369" s="1"/>
  <c r="S79" i="369"/>
  <c r="U79" i="369" s="1"/>
  <c r="S77" i="369"/>
  <c r="U77" i="369" s="1"/>
  <c r="S75" i="369"/>
  <c r="U75" i="369" s="1"/>
  <c r="S73" i="369"/>
  <c r="U73" i="369" s="1"/>
  <c r="S71" i="369"/>
  <c r="U71" i="369" s="1"/>
  <c r="S69" i="369"/>
  <c r="U69" i="369" s="1"/>
  <c r="S67" i="369"/>
  <c r="U67" i="369" s="1"/>
  <c r="S65" i="369"/>
  <c r="U65" i="369" s="1"/>
  <c r="S63" i="369"/>
  <c r="U63" i="369" s="1"/>
  <c r="S61" i="369"/>
  <c r="U61" i="369" s="1"/>
  <c r="S59" i="369"/>
  <c r="U59" i="369" s="1"/>
  <c r="S57" i="369"/>
  <c r="U57" i="369" s="1"/>
  <c r="S55" i="369"/>
  <c r="U55" i="369" s="1"/>
  <c r="S53" i="369"/>
  <c r="U53" i="369" s="1"/>
  <c r="S51" i="369"/>
  <c r="U51" i="369" s="1"/>
  <c r="S49" i="369"/>
  <c r="U49" i="369" s="1"/>
  <c r="S47" i="369"/>
  <c r="U47" i="369" s="1"/>
  <c r="S45" i="369"/>
  <c r="U45" i="369" s="1"/>
  <c r="S43" i="369"/>
  <c r="U43" i="369" s="1"/>
  <c r="S41" i="369"/>
  <c r="U41" i="369" s="1"/>
  <c r="S39" i="369"/>
  <c r="U39" i="369" s="1"/>
  <c r="S37" i="369"/>
  <c r="U37" i="369" s="1"/>
  <c r="S35" i="369"/>
  <c r="U35" i="369" s="1"/>
  <c r="S33" i="369"/>
  <c r="U33" i="369" s="1"/>
  <c r="S31" i="369"/>
  <c r="U31" i="369" s="1"/>
  <c r="S29" i="369"/>
  <c r="U29" i="369" s="1"/>
  <c r="S27" i="369"/>
  <c r="U27" i="369" s="1"/>
  <c r="S25" i="369"/>
  <c r="S23" i="369"/>
  <c r="U23" i="369" s="1"/>
  <c r="S21" i="369"/>
  <c r="U21" i="369" s="1"/>
  <c r="S19" i="369"/>
  <c r="U19" i="369" s="1"/>
  <c r="S17" i="369"/>
  <c r="U17" i="369" s="1"/>
  <c r="S15" i="369"/>
  <c r="U15" i="369" s="1"/>
  <c r="S13" i="369"/>
  <c r="U13" i="369" s="1"/>
  <c r="S11" i="369"/>
  <c r="U11" i="369" s="1"/>
  <c r="S9" i="369"/>
  <c r="U9" i="369" s="1"/>
  <c r="S7" i="369"/>
  <c r="U7" i="369" s="1"/>
  <c r="S5" i="369"/>
  <c r="U5" i="369" s="1"/>
  <c r="I4" i="369"/>
  <c r="M5" i="1" s="1"/>
  <c r="N208" i="369"/>
  <c r="P208" i="369" s="1"/>
  <c r="N222" i="369"/>
  <c r="P222" i="369" s="1"/>
  <c r="N190" i="369"/>
  <c r="P190" i="369" s="1"/>
  <c r="N158" i="369"/>
  <c r="P158" i="369" s="1"/>
  <c r="N126" i="369"/>
  <c r="P126" i="369" s="1"/>
  <c r="N102" i="369"/>
  <c r="P102" i="369" s="1"/>
  <c r="P96" i="369"/>
  <c r="N86" i="369"/>
  <c r="P86" i="369" s="1"/>
  <c r="N83" i="369"/>
  <c r="P83" i="369" s="1"/>
  <c r="N79" i="369"/>
  <c r="P79" i="369" s="1"/>
  <c r="N75" i="369"/>
  <c r="P75" i="369" s="1"/>
  <c r="N73" i="369"/>
  <c r="P73" i="369" s="1"/>
  <c r="N67" i="369"/>
  <c r="P67" i="369" s="1"/>
  <c r="N61" i="369"/>
  <c r="P61" i="369" s="1"/>
  <c r="N19" i="369"/>
  <c r="P19" i="369" s="1"/>
  <c r="N51" i="369"/>
  <c r="P51" i="369" s="1"/>
  <c r="N21" i="369"/>
  <c r="P21" i="369" s="1"/>
  <c r="N53" i="369"/>
  <c r="P53" i="369" s="1"/>
  <c r="N39" i="369"/>
  <c r="P39" i="369" s="1"/>
  <c r="N41" i="369"/>
  <c r="P41" i="369" s="1"/>
  <c r="N27" i="369"/>
  <c r="P27" i="369" s="1"/>
  <c r="N15" i="369"/>
  <c r="P15" i="369" s="1"/>
  <c r="N31" i="369"/>
  <c r="P31" i="369" s="1"/>
  <c r="N47" i="369"/>
  <c r="P47" i="369" s="1"/>
  <c r="N69" i="369"/>
  <c r="P69" i="369" s="1"/>
  <c r="N130" i="368"/>
  <c r="S8" i="368"/>
  <c r="S253" i="368"/>
  <c r="U253" i="368" s="1"/>
  <c r="S251" i="368"/>
  <c r="U251" i="368" s="1"/>
  <c r="S249" i="368"/>
  <c r="U249" i="368" s="1"/>
  <c r="S247" i="368"/>
  <c r="U247" i="368" s="1"/>
  <c r="S245" i="368"/>
  <c r="U245" i="368" s="1"/>
  <c r="S243" i="368"/>
  <c r="U243" i="368" s="1"/>
  <c r="S241" i="368"/>
  <c r="U241" i="368" s="1"/>
  <c r="S239" i="368"/>
  <c r="U239" i="368" s="1"/>
  <c r="S237" i="368"/>
  <c r="U237" i="368" s="1"/>
  <c r="S235" i="368"/>
  <c r="U235" i="368" s="1"/>
  <c r="S233" i="368"/>
  <c r="U233" i="368" s="1"/>
  <c r="S231" i="368"/>
  <c r="U231" i="368" s="1"/>
  <c r="S229" i="368"/>
  <c r="U229" i="368" s="1"/>
  <c r="S227" i="368"/>
  <c r="U227" i="368" s="1"/>
  <c r="S225" i="368"/>
  <c r="U225" i="368" s="1"/>
  <c r="S223" i="368"/>
  <c r="U223" i="368" s="1"/>
  <c r="S221" i="368"/>
  <c r="U221" i="368" s="1"/>
  <c r="S219" i="368"/>
  <c r="U219" i="368" s="1"/>
  <c r="S217" i="368"/>
  <c r="U217" i="368" s="1"/>
  <c r="S215" i="368"/>
  <c r="U215" i="368" s="1"/>
  <c r="S213" i="368"/>
  <c r="U213" i="368" s="1"/>
  <c r="S211" i="368"/>
  <c r="U211" i="368" s="1"/>
  <c r="S209" i="368"/>
  <c r="U209" i="368" s="1"/>
  <c r="S207" i="368"/>
  <c r="U207" i="368" s="1"/>
  <c r="S205" i="368"/>
  <c r="U205" i="368" s="1"/>
  <c r="S203" i="368"/>
  <c r="U203" i="368" s="1"/>
  <c r="S201" i="368"/>
  <c r="U201" i="368" s="1"/>
  <c r="S199" i="368"/>
  <c r="U199" i="368" s="1"/>
  <c r="S197" i="368"/>
  <c r="U197" i="368" s="1"/>
  <c r="S195" i="368"/>
  <c r="U195" i="368" s="1"/>
  <c r="S193" i="368"/>
  <c r="U193" i="368" s="1"/>
  <c r="S191" i="368"/>
  <c r="U191" i="368" s="1"/>
  <c r="S189" i="368"/>
  <c r="U189" i="368" s="1"/>
  <c r="S187" i="368"/>
  <c r="U187" i="368" s="1"/>
  <c r="S185" i="368"/>
  <c r="U185" i="368" s="1"/>
  <c r="S183" i="368"/>
  <c r="U183" i="368" s="1"/>
  <c r="S181" i="368"/>
  <c r="U181" i="368" s="1"/>
  <c r="S179" i="368"/>
  <c r="U179" i="368" s="1"/>
  <c r="S177" i="368"/>
  <c r="U177" i="368" s="1"/>
  <c r="S175" i="368"/>
  <c r="U175" i="368" s="1"/>
  <c r="S173" i="368"/>
  <c r="U173" i="368" s="1"/>
  <c r="S171" i="368"/>
  <c r="U171" i="368" s="1"/>
  <c r="S169" i="368"/>
  <c r="U169" i="368" s="1"/>
  <c r="S167" i="368"/>
  <c r="U167" i="368" s="1"/>
  <c r="S165" i="368"/>
  <c r="U165" i="368" s="1"/>
  <c r="S163" i="368"/>
  <c r="U163" i="368" s="1"/>
  <c r="S161" i="368"/>
  <c r="U161" i="368" s="1"/>
  <c r="S159" i="368"/>
  <c r="U159" i="368" s="1"/>
  <c r="S157" i="368"/>
  <c r="U157" i="368" s="1"/>
  <c r="S155" i="368"/>
  <c r="U155" i="368" s="1"/>
  <c r="S153" i="368"/>
  <c r="U153" i="368" s="1"/>
  <c r="S151" i="368"/>
  <c r="U151" i="368" s="1"/>
  <c r="S149" i="368"/>
  <c r="U149" i="368" s="1"/>
  <c r="S147" i="368"/>
  <c r="U147" i="368" s="1"/>
  <c r="S145" i="368"/>
  <c r="U145" i="368" s="1"/>
  <c r="S143" i="368"/>
  <c r="U143" i="368" s="1"/>
  <c r="S141" i="368"/>
  <c r="U141" i="368" s="1"/>
  <c r="S139" i="368"/>
  <c r="U139" i="368" s="1"/>
  <c r="S137" i="368"/>
  <c r="U137" i="368" s="1"/>
  <c r="S135" i="368"/>
  <c r="U135" i="368" s="1"/>
  <c r="S133" i="368"/>
  <c r="U133" i="368" s="1"/>
  <c r="S131" i="368"/>
  <c r="U131" i="368" s="1"/>
  <c r="S129" i="368"/>
  <c r="U129" i="368" s="1"/>
  <c r="S127" i="368"/>
  <c r="U127" i="368" s="1"/>
  <c r="S125" i="368"/>
  <c r="U125" i="368" s="1"/>
  <c r="S123" i="368"/>
  <c r="U123" i="368" s="1"/>
  <c r="S121" i="368"/>
  <c r="U121" i="368" s="1"/>
  <c r="S119" i="368"/>
  <c r="U119" i="368" s="1"/>
  <c r="S117" i="368"/>
  <c r="U117" i="368" s="1"/>
  <c r="S115" i="368"/>
  <c r="U115" i="368" s="1"/>
  <c r="S113" i="368"/>
  <c r="U113" i="368" s="1"/>
  <c r="S111" i="368"/>
  <c r="U111" i="368" s="1"/>
  <c r="S109" i="368"/>
  <c r="U109" i="368" s="1"/>
  <c r="S107" i="368"/>
  <c r="U107" i="368" s="1"/>
  <c r="S105" i="368"/>
  <c r="U105" i="368" s="1"/>
  <c r="S103" i="368"/>
  <c r="U103" i="368" s="1"/>
  <c r="S101" i="368"/>
  <c r="U101" i="368" s="1"/>
  <c r="S99" i="368"/>
  <c r="U99" i="368" s="1"/>
  <c r="S97" i="368"/>
  <c r="U97" i="368" s="1"/>
  <c r="S95" i="368"/>
  <c r="U95" i="368" s="1"/>
  <c r="S93" i="368"/>
  <c r="U93" i="368" s="1"/>
  <c r="S91" i="368"/>
  <c r="U91" i="368" s="1"/>
  <c r="S89" i="368"/>
  <c r="U89" i="368" s="1"/>
  <c r="S87" i="368"/>
  <c r="U87" i="368" s="1"/>
  <c r="S85" i="368"/>
  <c r="U85" i="368" s="1"/>
  <c r="P249" i="368"/>
  <c r="N253" i="368"/>
  <c r="P253" i="368" s="1"/>
  <c r="N251" i="368"/>
  <c r="P251" i="368" s="1"/>
  <c r="N249" i="368"/>
  <c r="N247" i="368"/>
  <c r="P247" i="368" s="1"/>
  <c r="N245" i="368"/>
  <c r="P245" i="368" s="1"/>
  <c r="N243" i="368"/>
  <c r="P243" i="368" s="1"/>
  <c r="N241" i="368"/>
  <c r="P241" i="368" s="1"/>
  <c r="N239" i="368"/>
  <c r="P239" i="368" s="1"/>
  <c r="N237" i="368"/>
  <c r="P237" i="368" s="1"/>
  <c r="N235" i="368"/>
  <c r="P235" i="368" s="1"/>
  <c r="N233" i="368"/>
  <c r="P233" i="368" s="1"/>
  <c r="N231" i="368"/>
  <c r="P231" i="368" s="1"/>
  <c r="N229" i="368"/>
  <c r="P229" i="368" s="1"/>
  <c r="N227" i="368"/>
  <c r="P227" i="368" s="1"/>
  <c r="N225" i="368"/>
  <c r="P225" i="368" s="1"/>
  <c r="N223" i="368"/>
  <c r="P223" i="368" s="1"/>
  <c r="N221" i="368"/>
  <c r="P221" i="368" s="1"/>
  <c r="N219" i="368"/>
  <c r="P219" i="368" s="1"/>
  <c r="N217" i="368"/>
  <c r="P217" i="368" s="1"/>
  <c r="N215" i="368"/>
  <c r="P215" i="368" s="1"/>
  <c r="N213" i="368"/>
  <c r="P213" i="368" s="1"/>
  <c r="N211" i="368"/>
  <c r="P211" i="368" s="1"/>
  <c r="N209" i="368"/>
  <c r="P209" i="368" s="1"/>
  <c r="N207" i="368"/>
  <c r="P207" i="368" s="1"/>
  <c r="N205" i="368"/>
  <c r="P205" i="368" s="1"/>
  <c r="N203" i="368"/>
  <c r="P203" i="368" s="1"/>
  <c r="N201" i="368"/>
  <c r="P201" i="368" s="1"/>
  <c r="N199" i="368"/>
  <c r="P199" i="368" s="1"/>
  <c r="N197" i="368"/>
  <c r="P197" i="368" s="1"/>
  <c r="N195" i="368"/>
  <c r="P195" i="368" s="1"/>
  <c r="N193" i="368"/>
  <c r="P193" i="368" s="1"/>
  <c r="N191" i="368"/>
  <c r="P191" i="368" s="1"/>
  <c r="N189" i="368"/>
  <c r="P189" i="368" s="1"/>
  <c r="N187" i="368"/>
  <c r="P187" i="368" s="1"/>
  <c r="N185" i="368"/>
  <c r="P185" i="368" s="1"/>
  <c r="N183" i="368"/>
  <c r="P183" i="368" s="1"/>
  <c r="N181" i="368"/>
  <c r="P181" i="368" s="1"/>
  <c r="N179" i="368"/>
  <c r="P179" i="368" s="1"/>
  <c r="N177" i="368"/>
  <c r="P177" i="368" s="1"/>
  <c r="N175" i="368"/>
  <c r="P175" i="368" s="1"/>
  <c r="N173" i="368"/>
  <c r="P173" i="368" s="1"/>
  <c r="N171" i="368"/>
  <c r="P171" i="368" s="1"/>
  <c r="N169" i="368"/>
  <c r="P169" i="368" s="1"/>
  <c r="N167" i="368"/>
  <c r="P167" i="368" s="1"/>
  <c r="N165" i="368"/>
  <c r="P165" i="368" s="1"/>
  <c r="N163" i="368"/>
  <c r="P163" i="368" s="1"/>
  <c r="N161" i="368"/>
  <c r="P161" i="368" s="1"/>
  <c r="N159" i="368"/>
  <c r="P159" i="368" s="1"/>
  <c r="N157" i="368"/>
  <c r="P157" i="368" s="1"/>
  <c r="N155" i="368"/>
  <c r="P155" i="368" s="1"/>
  <c r="N153" i="368"/>
  <c r="P153" i="368" s="1"/>
  <c r="N151" i="368"/>
  <c r="P151" i="368" s="1"/>
  <c r="N149" i="368"/>
  <c r="P149" i="368" s="1"/>
  <c r="N147" i="368"/>
  <c r="P147" i="368" s="1"/>
  <c r="N145" i="368"/>
  <c r="P145" i="368" s="1"/>
  <c r="N143" i="368"/>
  <c r="P143" i="368" s="1"/>
  <c r="N141" i="368"/>
  <c r="P141" i="368" s="1"/>
  <c r="N139" i="368"/>
  <c r="P139" i="368" s="1"/>
  <c r="N137" i="368"/>
  <c r="P137" i="368" s="1"/>
  <c r="N135" i="368"/>
  <c r="P135" i="368" s="1"/>
  <c r="N133" i="368"/>
  <c r="P133" i="368" s="1"/>
  <c r="N131" i="368"/>
  <c r="P131" i="368" s="1"/>
  <c r="N129" i="368"/>
  <c r="P129" i="368" s="1"/>
  <c r="N127" i="368"/>
  <c r="P127" i="368" s="1"/>
  <c r="N125" i="368"/>
  <c r="P125" i="368" s="1"/>
  <c r="N123" i="368"/>
  <c r="P123" i="368" s="1"/>
  <c r="N121" i="368"/>
  <c r="P121" i="368" s="1"/>
  <c r="N119" i="368"/>
  <c r="P119" i="368" s="1"/>
  <c r="N117" i="368"/>
  <c r="P117" i="368" s="1"/>
  <c r="N115" i="368"/>
  <c r="P115" i="368" s="1"/>
  <c r="N113" i="368"/>
  <c r="P113" i="368" s="1"/>
  <c r="N111" i="368"/>
  <c r="P111" i="368" s="1"/>
  <c r="N109" i="368"/>
  <c r="P109" i="368" s="1"/>
  <c r="N107" i="368"/>
  <c r="P107" i="368" s="1"/>
  <c r="N105" i="368"/>
  <c r="P105" i="368" s="1"/>
  <c r="N103" i="368"/>
  <c r="P103" i="368" s="1"/>
  <c r="N101" i="368"/>
  <c r="P101" i="368" s="1"/>
  <c r="N99" i="368"/>
  <c r="P99" i="368" s="1"/>
  <c r="N97" i="368"/>
  <c r="P97" i="368" s="1"/>
  <c r="N95" i="368"/>
  <c r="P95" i="368" s="1"/>
  <c r="N93" i="368"/>
  <c r="P93" i="368" s="1"/>
  <c r="N91" i="368"/>
  <c r="P91" i="368" s="1"/>
  <c r="N89" i="368"/>
  <c r="P89" i="368" s="1"/>
  <c r="N87" i="368"/>
  <c r="P87" i="368" s="1"/>
  <c r="N85" i="368"/>
  <c r="P85" i="368" s="1"/>
  <c r="U252" i="368"/>
  <c r="U188" i="368"/>
  <c r="S252" i="368"/>
  <c r="S250" i="368"/>
  <c r="U250" i="368" s="1"/>
  <c r="S248" i="368"/>
  <c r="U248" i="368" s="1"/>
  <c r="S246" i="368"/>
  <c r="U246" i="368" s="1"/>
  <c r="S244" i="368"/>
  <c r="U244" i="368" s="1"/>
  <c r="S242" i="368"/>
  <c r="U242" i="368" s="1"/>
  <c r="S240" i="368"/>
  <c r="U240" i="368" s="1"/>
  <c r="S238" i="368"/>
  <c r="U238" i="368" s="1"/>
  <c r="S236" i="368"/>
  <c r="U236" i="368" s="1"/>
  <c r="S234" i="368"/>
  <c r="U234" i="368" s="1"/>
  <c r="S232" i="368"/>
  <c r="U232" i="368" s="1"/>
  <c r="S230" i="368"/>
  <c r="U230" i="368" s="1"/>
  <c r="S228" i="368"/>
  <c r="U228" i="368" s="1"/>
  <c r="S226" i="368"/>
  <c r="U226" i="368" s="1"/>
  <c r="S224" i="368"/>
  <c r="U224" i="368" s="1"/>
  <c r="S222" i="368"/>
  <c r="U222" i="368" s="1"/>
  <c r="S220" i="368"/>
  <c r="U220" i="368" s="1"/>
  <c r="S218" i="368"/>
  <c r="U218" i="368" s="1"/>
  <c r="S216" i="368"/>
  <c r="U216" i="368" s="1"/>
  <c r="S214" i="368"/>
  <c r="U214" i="368" s="1"/>
  <c r="S212" i="368"/>
  <c r="U212" i="368" s="1"/>
  <c r="S210" i="368"/>
  <c r="U210" i="368" s="1"/>
  <c r="S208" i="368"/>
  <c r="U208" i="368" s="1"/>
  <c r="S206" i="368"/>
  <c r="U206" i="368" s="1"/>
  <c r="S204" i="368"/>
  <c r="U204" i="368" s="1"/>
  <c r="S202" i="368"/>
  <c r="U202" i="368" s="1"/>
  <c r="S200" i="368"/>
  <c r="U200" i="368" s="1"/>
  <c r="S198" i="368"/>
  <c r="U198" i="368" s="1"/>
  <c r="S196" i="368"/>
  <c r="U196" i="368" s="1"/>
  <c r="S194" i="368"/>
  <c r="U194" i="368" s="1"/>
  <c r="S192" i="368"/>
  <c r="U192" i="368" s="1"/>
  <c r="S190" i="368"/>
  <c r="U190" i="368" s="1"/>
  <c r="S188" i="368"/>
  <c r="S186" i="368"/>
  <c r="U186" i="368" s="1"/>
  <c r="S184" i="368"/>
  <c r="U184" i="368" s="1"/>
  <c r="S182" i="368"/>
  <c r="U182" i="368" s="1"/>
  <c r="S180" i="368"/>
  <c r="U180" i="368" s="1"/>
  <c r="S178" i="368"/>
  <c r="U178" i="368" s="1"/>
  <c r="S176" i="368"/>
  <c r="U176" i="368" s="1"/>
  <c r="S174" i="368"/>
  <c r="U174" i="368" s="1"/>
  <c r="S172" i="368"/>
  <c r="U172" i="368" s="1"/>
  <c r="S170" i="368"/>
  <c r="U170" i="368" s="1"/>
  <c r="S168" i="368"/>
  <c r="U168" i="368" s="1"/>
  <c r="S166" i="368"/>
  <c r="U166" i="368" s="1"/>
  <c r="S164" i="368"/>
  <c r="U164" i="368" s="1"/>
  <c r="S162" i="368"/>
  <c r="U162" i="368" s="1"/>
  <c r="S160" i="368"/>
  <c r="U160" i="368" s="1"/>
  <c r="S158" i="368"/>
  <c r="U158" i="368" s="1"/>
  <c r="S156" i="368"/>
  <c r="U156" i="368" s="1"/>
  <c r="S154" i="368"/>
  <c r="U154" i="368" s="1"/>
  <c r="S152" i="368"/>
  <c r="U152" i="368" s="1"/>
  <c r="S150" i="368"/>
  <c r="U150" i="368" s="1"/>
  <c r="S148" i="368"/>
  <c r="U148" i="368" s="1"/>
  <c r="S146" i="368"/>
  <c r="U146" i="368" s="1"/>
  <c r="S144" i="368"/>
  <c r="U144" i="368" s="1"/>
  <c r="S142" i="368"/>
  <c r="U142" i="368" s="1"/>
  <c r="S140" i="368"/>
  <c r="U140" i="368" s="1"/>
  <c r="S138" i="368"/>
  <c r="U138" i="368" s="1"/>
  <c r="S136" i="368"/>
  <c r="U136" i="368" s="1"/>
  <c r="S134" i="368"/>
  <c r="U134" i="368" s="1"/>
  <c r="S132" i="368"/>
  <c r="U132" i="368" s="1"/>
  <c r="S130" i="368"/>
  <c r="U130" i="368" s="1"/>
  <c r="S128" i="368"/>
  <c r="U128" i="368" s="1"/>
  <c r="S126" i="368"/>
  <c r="U126" i="368" s="1"/>
  <c r="S124" i="368"/>
  <c r="U124" i="368" s="1"/>
  <c r="S122" i="368"/>
  <c r="U122" i="368" s="1"/>
  <c r="S120" i="368"/>
  <c r="U120" i="368" s="1"/>
  <c r="S118" i="368"/>
  <c r="U118" i="368" s="1"/>
  <c r="S116" i="368"/>
  <c r="U116" i="368" s="1"/>
  <c r="S114" i="368"/>
  <c r="U114" i="368" s="1"/>
  <c r="S112" i="368"/>
  <c r="U112" i="368" s="1"/>
  <c r="S110" i="368"/>
  <c r="U110" i="368" s="1"/>
  <c r="S108" i="368"/>
  <c r="U108" i="368" s="1"/>
  <c r="S106" i="368"/>
  <c r="U106" i="368" s="1"/>
  <c r="S104" i="368"/>
  <c r="U104" i="368" s="1"/>
  <c r="S102" i="368"/>
  <c r="U102" i="368" s="1"/>
  <c r="S100" i="368"/>
  <c r="U100" i="368" s="1"/>
  <c r="S98" i="368"/>
  <c r="U98" i="368" s="1"/>
  <c r="S96" i="368"/>
  <c r="U96" i="368" s="1"/>
  <c r="S94" i="368"/>
  <c r="U94" i="368" s="1"/>
  <c r="S92" i="368"/>
  <c r="U92" i="368" s="1"/>
  <c r="S90" i="368"/>
  <c r="U90" i="368" s="1"/>
  <c r="S88" i="368"/>
  <c r="S86" i="368"/>
  <c r="S84" i="368"/>
  <c r="P218" i="368"/>
  <c r="P186" i="368"/>
  <c r="P146" i="368"/>
  <c r="P130" i="368"/>
  <c r="N252" i="368"/>
  <c r="P252" i="368" s="1"/>
  <c r="N236" i="368"/>
  <c r="P236" i="368" s="1"/>
  <c r="N220" i="368"/>
  <c r="P220" i="368" s="1"/>
  <c r="N204" i="368"/>
  <c r="P204" i="368" s="1"/>
  <c r="N188" i="368"/>
  <c r="P188" i="368" s="1"/>
  <c r="N172" i="368"/>
  <c r="P172" i="368" s="1"/>
  <c r="N156" i="368"/>
  <c r="P156" i="368" s="1"/>
  <c r="N140" i="368"/>
  <c r="P140" i="368" s="1"/>
  <c r="N124" i="368"/>
  <c r="P124" i="368" s="1"/>
  <c r="N108" i="368"/>
  <c r="P108" i="368" s="1"/>
  <c r="N88" i="368"/>
  <c r="P88" i="368" s="1"/>
  <c r="S83" i="368"/>
  <c r="U83" i="368" s="1"/>
  <c r="S81" i="368"/>
  <c r="S79" i="368"/>
  <c r="S77" i="368"/>
  <c r="S75" i="368"/>
  <c r="U75" i="368" s="1"/>
  <c r="S73" i="368"/>
  <c r="S71" i="368"/>
  <c r="S69" i="368"/>
  <c r="U69" i="368" s="1"/>
  <c r="S67" i="368"/>
  <c r="U67" i="368" s="1"/>
  <c r="S65" i="368"/>
  <c r="U65" i="368" s="1"/>
  <c r="S63" i="368"/>
  <c r="S61" i="368"/>
  <c r="S59" i="368"/>
  <c r="U59" i="368" s="1"/>
  <c r="S57" i="368"/>
  <c r="S55" i="368"/>
  <c r="S53" i="368"/>
  <c r="U53" i="368" s="1"/>
  <c r="S51" i="368"/>
  <c r="U51" i="368" s="1"/>
  <c r="S49" i="368"/>
  <c r="U49" i="368" s="1"/>
  <c r="S47" i="368"/>
  <c r="S45" i="368"/>
  <c r="S43" i="368"/>
  <c r="U43" i="368" s="1"/>
  <c r="S41" i="368"/>
  <c r="S39" i="368"/>
  <c r="S37" i="368"/>
  <c r="U37" i="368" s="1"/>
  <c r="S35" i="368"/>
  <c r="U35" i="368" s="1"/>
  <c r="S33" i="368"/>
  <c r="S31" i="368"/>
  <c r="S29" i="368"/>
  <c r="S27" i="368"/>
  <c r="S25" i="368"/>
  <c r="S23" i="368"/>
  <c r="S21" i="368"/>
  <c r="U21" i="368" s="1"/>
  <c r="S19" i="368"/>
  <c r="U19" i="368" s="1"/>
  <c r="S17" i="368"/>
  <c r="U17" i="368" s="1"/>
  <c r="S15" i="368"/>
  <c r="S13" i="368"/>
  <c r="S11" i="368"/>
  <c r="U11" i="368" s="1"/>
  <c r="S9" i="368"/>
  <c r="S7" i="368"/>
  <c r="S5" i="368"/>
  <c r="U5" i="368" s="1"/>
  <c r="I4" i="368"/>
  <c r="M4" i="1" s="1"/>
  <c r="N250" i="368"/>
  <c r="P250" i="368" s="1"/>
  <c r="N234" i="368"/>
  <c r="P234" i="368" s="1"/>
  <c r="N218" i="368"/>
  <c r="N202" i="368"/>
  <c r="P202" i="368" s="1"/>
  <c r="N186" i="368"/>
  <c r="N170" i="368"/>
  <c r="P170" i="368" s="1"/>
  <c r="N154" i="368"/>
  <c r="P154" i="368" s="1"/>
  <c r="N138" i="368"/>
  <c r="P138" i="368" s="1"/>
  <c r="N122" i="368"/>
  <c r="P122" i="368" s="1"/>
  <c r="N106" i="368"/>
  <c r="P106" i="368" s="1"/>
  <c r="N94" i="368"/>
  <c r="P94" i="368" s="1"/>
  <c r="U86" i="368"/>
  <c r="N248" i="368"/>
  <c r="P248" i="368" s="1"/>
  <c r="N232" i="368"/>
  <c r="P232" i="368" s="1"/>
  <c r="N216" i="368"/>
  <c r="P216" i="368" s="1"/>
  <c r="N200" i="368"/>
  <c r="P200" i="368" s="1"/>
  <c r="N184" i="368"/>
  <c r="P184" i="368" s="1"/>
  <c r="N168" i="368"/>
  <c r="P168" i="368" s="1"/>
  <c r="N152" i="368"/>
  <c r="P152" i="368" s="1"/>
  <c r="N136" i="368"/>
  <c r="P136" i="368" s="1"/>
  <c r="N120" i="368"/>
  <c r="P120" i="368" s="1"/>
  <c r="N104" i="368"/>
  <c r="P104" i="368" s="1"/>
  <c r="P92" i="368"/>
  <c r="N83" i="368"/>
  <c r="P83" i="368" s="1"/>
  <c r="N81" i="368"/>
  <c r="P81" i="368" s="1"/>
  <c r="N79" i="368"/>
  <c r="P79" i="368" s="1"/>
  <c r="N77" i="368"/>
  <c r="P77" i="368" s="1"/>
  <c r="N75" i="368"/>
  <c r="P75" i="368" s="1"/>
  <c r="N73" i="368"/>
  <c r="P73" i="368" s="1"/>
  <c r="N71" i="368"/>
  <c r="P71" i="368" s="1"/>
  <c r="N69" i="368"/>
  <c r="P69" i="368" s="1"/>
  <c r="N67" i="368"/>
  <c r="P67" i="368" s="1"/>
  <c r="N65" i="368"/>
  <c r="P65" i="368" s="1"/>
  <c r="N63" i="368"/>
  <c r="P63" i="368" s="1"/>
  <c r="N61" i="368"/>
  <c r="P61" i="368" s="1"/>
  <c r="N59" i="368"/>
  <c r="P59" i="368" s="1"/>
  <c r="N57" i="368"/>
  <c r="P57" i="368" s="1"/>
  <c r="N55" i="368"/>
  <c r="P55" i="368" s="1"/>
  <c r="N53" i="368"/>
  <c r="P53" i="368" s="1"/>
  <c r="N51" i="368"/>
  <c r="P51" i="368" s="1"/>
  <c r="N49" i="368"/>
  <c r="P49" i="368" s="1"/>
  <c r="N47" i="368"/>
  <c r="P47" i="368" s="1"/>
  <c r="N45" i="368"/>
  <c r="P45" i="368" s="1"/>
  <c r="N43" i="368"/>
  <c r="P43" i="368" s="1"/>
  <c r="N41" i="368"/>
  <c r="P41" i="368" s="1"/>
  <c r="N39" i="368"/>
  <c r="P39" i="368" s="1"/>
  <c r="N37" i="368"/>
  <c r="P37" i="368" s="1"/>
  <c r="N35" i="368"/>
  <c r="P35" i="368" s="1"/>
  <c r="N33" i="368"/>
  <c r="P33" i="368" s="1"/>
  <c r="N31" i="368"/>
  <c r="P31" i="368" s="1"/>
  <c r="N29" i="368"/>
  <c r="P29" i="368" s="1"/>
  <c r="N27" i="368"/>
  <c r="P27" i="368" s="1"/>
  <c r="N25" i="368"/>
  <c r="P25" i="368" s="1"/>
  <c r="N23" i="368"/>
  <c r="P23" i="368" s="1"/>
  <c r="N21" i="368"/>
  <c r="P21" i="368" s="1"/>
  <c r="N19" i="368"/>
  <c r="P19" i="368" s="1"/>
  <c r="N17" i="368"/>
  <c r="P17" i="368" s="1"/>
  <c r="N15" i="368"/>
  <c r="P15" i="368" s="1"/>
  <c r="N13" i="368"/>
  <c r="P13" i="368" s="1"/>
  <c r="N11" i="368"/>
  <c r="P11" i="368" s="1"/>
  <c r="N9" i="368"/>
  <c r="P9" i="368" s="1"/>
  <c r="N7" i="368"/>
  <c r="P7" i="368" s="1"/>
  <c r="N5" i="368"/>
  <c r="P5" i="368" s="1"/>
  <c r="N244" i="368"/>
  <c r="P244" i="368" s="1"/>
  <c r="N228" i="368"/>
  <c r="P228" i="368" s="1"/>
  <c r="N212" i="368"/>
  <c r="P212" i="368" s="1"/>
  <c r="N164" i="368"/>
  <c r="P164" i="368" s="1"/>
  <c r="N148" i="368"/>
  <c r="P148" i="368" s="1"/>
  <c r="N132" i="368"/>
  <c r="P132" i="368" s="1"/>
  <c r="N116" i="368"/>
  <c r="P116" i="368" s="1"/>
  <c r="N100" i="368"/>
  <c r="P100" i="368" s="1"/>
  <c r="U84" i="368"/>
  <c r="S82" i="368"/>
  <c r="S80" i="368"/>
  <c r="U80" i="368" s="1"/>
  <c r="S78" i="368"/>
  <c r="U78" i="368" s="1"/>
  <c r="S76" i="368"/>
  <c r="U76" i="368" s="1"/>
  <c r="S74" i="368"/>
  <c r="U74" i="368" s="1"/>
  <c r="S72" i="368"/>
  <c r="U72" i="368" s="1"/>
  <c r="S70" i="368"/>
  <c r="U70" i="368" s="1"/>
  <c r="S64" i="368"/>
  <c r="U64" i="368" s="1"/>
  <c r="S62" i="368"/>
  <c r="S60" i="368"/>
  <c r="U60" i="368" s="1"/>
  <c r="S58" i="368"/>
  <c r="S56" i="368"/>
  <c r="S54" i="368"/>
  <c r="U54" i="368" s="1"/>
  <c r="S48" i="368"/>
  <c r="U48" i="368" s="1"/>
  <c r="S46" i="368"/>
  <c r="U46" i="368" s="1"/>
  <c r="S44" i="368"/>
  <c r="U44" i="368" s="1"/>
  <c r="S42" i="368"/>
  <c r="S38" i="368"/>
  <c r="U38" i="368" s="1"/>
  <c r="S34" i="368"/>
  <c r="U34" i="368" s="1"/>
  <c r="S30" i="368"/>
  <c r="S26" i="368"/>
  <c r="U26" i="368" s="1"/>
  <c r="S24" i="368"/>
  <c r="U24" i="368" s="1"/>
  <c r="N246" i="368"/>
  <c r="P246" i="368" s="1"/>
  <c r="N230" i="368"/>
  <c r="P230" i="368" s="1"/>
  <c r="N214" i="368"/>
  <c r="P214" i="368" s="1"/>
  <c r="N198" i="368"/>
  <c r="P198" i="368" s="1"/>
  <c r="N182" i="368"/>
  <c r="P182" i="368" s="1"/>
  <c r="N166" i="368"/>
  <c r="P166" i="368" s="1"/>
  <c r="N150" i="368"/>
  <c r="P150" i="368" s="1"/>
  <c r="N134" i="368"/>
  <c r="P134" i="368" s="1"/>
  <c r="N118" i="368"/>
  <c r="P118" i="368" s="1"/>
  <c r="N102" i="368"/>
  <c r="P102" i="368" s="1"/>
  <c r="N92" i="368"/>
  <c r="N86" i="368"/>
  <c r="P86" i="368" s="1"/>
  <c r="U82" i="368"/>
  <c r="U62" i="368"/>
  <c r="U58" i="368"/>
  <c r="U56" i="368"/>
  <c r="U42" i="368"/>
  <c r="U30" i="368"/>
  <c r="U8" i="368"/>
  <c r="I5" i="368"/>
  <c r="N4" i="1" s="1"/>
  <c r="N240" i="368"/>
  <c r="P240" i="368" s="1"/>
  <c r="N224" i="368"/>
  <c r="P224" i="368" s="1"/>
  <c r="N208" i="368"/>
  <c r="P208" i="368" s="1"/>
  <c r="N192" i="368"/>
  <c r="P192" i="368" s="1"/>
  <c r="N176" i="368"/>
  <c r="P176" i="368" s="1"/>
  <c r="N160" i="368"/>
  <c r="P160" i="368" s="1"/>
  <c r="N144" i="368"/>
  <c r="P144" i="368" s="1"/>
  <c r="N128" i="368"/>
  <c r="P128" i="368" s="1"/>
  <c r="N112" i="368"/>
  <c r="P112" i="368" s="1"/>
  <c r="U88" i="368"/>
  <c r="N84" i="368"/>
  <c r="N82" i="368"/>
  <c r="P82" i="368" s="1"/>
  <c r="N80" i="368"/>
  <c r="P80" i="368" s="1"/>
  <c r="N78" i="368"/>
  <c r="P78" i="368" s="1"/>
  <c r="N76" i="368"/>
  <c r="P76" i="368" s="1"/>
  <c r="N74" i="368"/>
  <c r="N72" i="368"/>
  <c r="P72" i="368" s="1"/>
  <c r="N70" i="368"/>
  <c r="N68" i="368"/>
  <c r="N66" i="368"/>
  <c r="N64" i="368"/>
  <c r="N62" i="368"/>
  <c r="P62" i="368" s="1"/>
  <c r="N60" i="368"/>
  <c r="P60" i="368" s="1"/>
  <c r="N58" i="368"/>
  <c r="N56" i="368"/>
  <c r="P56" i="368" s="1"/>
  <c r="N54" i="368"/>
  <c r="P54" i="368" s="1"/>
  <c r="N52" i="368"/>
  <c r="N50" i="368"/>
  <c r="P50" i="368" s="1"/>
  <c r="N48" i="368"/>
  <c r="P48" i="368" s="1"/>
  <c r="N46" i="368"/>
  <c r="P46" i="368" s="1"/>
  <c r="N44" i="368"/>
  <c r="P44" i="368" s="1"/>
  <c r="N42" i="368"/>
  <c r="N40" i="368"/>
  <c r="N38" i="368"/>
  <c r="P38" i="368" s="1"/>
  <c r="N36" i="368"/>
  <c r="N34" i="368"/>
  <c r="P34" i="368" s="1"/>
  <c r="N32" i="368"/>
  <c r="P32" i="368" s="1"/>
  <c r="N30" i="368"/>
  <c r="N28" i="368"/>
  <c r="P28" i="368" s="1"/>
  <c r="N26" i="368"/>
  <c r="N24" i="368"/>
  <c r="P24" i="368" s="1"/>
  <c r="N22" i="368"/>
  <c r="P22" i="368" s="1"/>
  <c r="N20" i="368"/>
  <c r="N18" i="368"/>
  <c r="P18" i="368" s="1"/>
  <c r="N16" i="368"/>
  <c r="P16" i="368" s="1"/>
  <c r="N14" i="368"/>
  <c r="P14" i="368" s="1"/>
  <c r="N12" i="368"/>
  <c r="P12" i="368" s="1"/>
  <c r="N10" i="368"/>
  <c r="N8" i="368"/>
  <c r="P8" i="368" s="1"/>
  <c r="N6" i="368"/>
  <c r="P6" i="368" s="1"/>
  <c r="N180" i="368"/>
  <c r="P180" i="368" s="1"/>
  <c r="S66" i="368"/>
  <c r="U66" i="368" s="1"/>
  <c r="S50" i="368"/>
  <c r="U50" i="368" s="1"/>
  <c r="S36" i="368"/>
  <c r="U36" i="368" s="1"/>
  <c r="S28" i="368"/>
  <c r="U28" i="368" s="1"/>
  <c r="S18" i="368"/>
  <c r="U18" i="368" s="1"/>
  <c r="N238" i="368"/>
  <c r="P238" i="368" s="1"/>
  <c r="N222" i="368"/>
  <c r="P222" i="368" s="1"/>
  <c r="N206" i="368"/>
  <c r="P206" i="368" s="1"/>
  <c r="N190" i="368"/>
  <c r="P190" i="368" s="1"/>
  <c r="N174" i="368"/>
  <c r="P174" i="368" s="1"/>
  <c r="N158" i="368"/>
  <c r="P158" i="368" s="1"/>
  <c r="N142" i="368"/>
  <c r="P142" i="368" s="1"/>
  <c r="N126" i="368"/>
  <c r="P126" i="368" s="1"/>
  <c r="N110" i="368"/>
  <c r="P110" i="368" s="1"/>
  <c r="N96" i="368"/>
  <c r="P96" i="368" s="1"/>
  <c r="U81" i="368"/>
  <c r="U79" i="368"/>
  <c r="U77" i="368"/>
  <c r="U73" i="368"/>
  <c r="U71" i="368"/>
  <c r="U63" i="368"/>
  <c r="U61" i="368"/>
  <c r="U57" i="368"/>
  <c r="U55" i="368"/>
  <c r="U47" i="368"/>
  <c r="U45" i="368"/>
  <c r="U41" i="368"/>
  <c r="U39" i="368"/>
  <c r="U33" i="368"/>
  <c r="U31" i="368"/>
  <c r="U29" i="368"/>
  <c r="U27" i="368"/>
  <c r="U25" i="368"/>
  <c r="U23" i="368"/>
  <c r="U15" i="368"/>
  <c r="U13" i="368"/>
  <c r="U9" i="368"/>
  <c r="U7" i="368"/>
  <c r="N4" i="368"/>
  <c r="N196" i="368"/>
  <c r="P196" i="368" s="1"/>
  <c r="S68" i="368"/>
  <c r="U68" i="368" s="1"/>
  <c r="S52" i="368"/>
  <c r="U52" i="368" s="1"/>
  <c r="S40" i="368"/>
  <c r="U40" i="368" s="1"/>
  <c r="S32" i="368"/>
  <c r="U32" i="368" s="1"/>
  <c r="S22" i="368"/>
  <c r="U22" i="368" s="1"/>
  <c r="S16" i="368"/>
  <c r="U16" i="368" s="1"/>
  <c r="P30" i="368"/>
  <c r="I3" i="368"/>
  <c r="K4" i="1" s="1"/>
  <c r="P10" i="368"/>
  <c r="P64" i="368"/>
  <c r="N162" i="368"/>
  <c r="P162" i="368" s="1"/>
  <c r="S10" i="368"/>
  <c r="U10" i="368" s="1"/>
  <c r="P20" i="368"/>
  <c r="P66" i="368"/>
  <c r="N178" i="368"/>
  <c r="P178" i="368" s="1"/>
  <c r="P52" i="368"/>
  <c r="N194" i="368"/>
  <c r="P194" i="368" s="1"/>
  <c r="S20" i="368"/>
  <c r="U20" i="368" s="1"/>
  <c r="P36" i="368"/>
  <c r="N90" i="368"/>
  <c r="P90" i="368" s="1"/>
  <c r="P84" i="368"/>
  <c r="S12" i="368"/>
  <c r="U12" i="368" s="1"/>
  <c r="P70" i="368"/>
  <c r="N210" i="368"/>
  <c r="P210" i="368" s="1"/>
  <c r="P40" i="368"/>
  <c r="N98" i="368"/>
  <c r="P98" i="368" s="1"/>
  <c r="N226" i="368"/>
  <c r="P226" i="368" s="1"/>
  <c r="S4" i="368"/>
  <c r="U4" i="368" s="1"/>
  <c r="P68" i="368"/>
  <c r="S6" i="368"/>
  <c r="U6" i="368" s="1"/>
  <c r="S14" i="368"/>
  <c r="U14" i="368" s="1"/>
  <c r="P26" i="368"/>
  <c r="P42" i="368"/>
  <c r="P58" i="368"/>
  <c r="P74" i="368"/>
  <c r="N114" i="368"/>
  <c r="P114" i="368" s="1"/>
  <c r="N242" i="368"/>
  <c r="P242" i="368" s="1"/>
  <c r="N126" i="367"/>
  <c r="S38" i="367"/>
  <c r="N142" i="367"/>
  <c r="N158" i="367"/>
  <c r="P158" i="367" s="1"/>
  <c r="S6" i="367"/>
  <c r="U6" i="367" s="1"/>
  <c r="S8" i="367"/>
  <c r="S56" i="367"/>
  <c r="U227" i="367"/>
  <c r="S253" i="367"/>
  <c r="U253" i="367" s="1"/>
  <c r="S251" i="367"/>
  <c r="U251" i="367" s="1"/>
  <c r="S249" i="367"/>
  <c r="U249" i="367" s="1"/>
  <c r="S247" i="367"/>
  <c r="U247" i="367" s="1"/>
  <c r="S245" i="367"/>
  <c r="U245" i="367" s="1"/>
  <c r="S243" i="367"/>
  <c r="U243" i="367" s="1"/>
  <c r="S241" i="367"/>
  <c r="U241" i="367" s="1"/>
  <c r="S239" i="367"/>
  <c r="U239" i="367" s="1"/>
  <c r="S237" i="367"/>
  <c r="U237" i="367" s="1"/>
  <c r="S235" i="367"/>
  <c r="U235" i="367" s="1"/>
  <c r="S233" i="367"/>
  <c r="U233" i="367" s="1"/>
  <c r="S231" i="367"/>
  <c r="U231" i="367" s="1"/>
  <c r="S229" i="367"/>
  <c r="U229" i="367" s="1"/>
  <c r="S227" i="367"/>
  <c r="S225" i="367"/>
  <c r="U225" i="367" s="1"/>
  <c r="S223" i="367"/>
  <c r="U223" i="367" s="1"/>
  <c r="S221" i="367"/>
  <c r="U221" i="367" s="1"/>
  <c r="S219" i="367"/>
  <c r="U219" i="367" s="1"/>
  <c r="S217" i="367"/>
  <c r="U217" i="367" s="1"/>
  <c r="S215" i="367"/>
  <c r="U215" i="367" s="1"/>
  <c r="S213" i="367"/>
  <c r="U213" i="367" s="1"/>
  <c r="S211" i="367"/>
  <c r="U211" i="367" s="1"/>
  <c r="S209" i="367"/>
  <c r="U209" i="367" s="1"/>
  <c r="S207" i="367"/>
  <c r="U207" i="367" s="1"/>
  <c r="S205" i="367"/>
  <c r="U205" i="367" s="1"/>
  <c r="S203" i="367"/>
  <c r="U203" i="367" s="1"/>
  <c r="S201" i="367"/>
  <c r="U201" i="367" s="1"/>
  <c r="S199" i="367"/>
  <c r="U199" i="367" s="1"/>
  <c r="S197" i="367"/>
  <c r="U197" i="367" s="1"/>
  <c r="S195" i="367"/>
  <c r="U195" i="367" s="1"/>
  <c r="S193" i="367"/>
  <c r="U193" i="367" s="1"/>
  <c r="S191" i="367"/>
  <c r="U191" i="367" s="1"/>
  <c r="S189" i="367"/>
  <c r="U189" i="367" s="1"/>
  <c r="S187" i="367"/>
  <c r="U187" i="367" s="1"/>
  <c r="S185" i="367"/>
  <c r="U185" i="367" s="1"/>
  <c r="S183" i="367"/>
  <c r="U183" i="367" s="1"/>
  <c r="S181" i="367"/>
  <c r="U181" i="367" s="1"/>
  <c r="S179" i="367"/>
  <c r="U179" i="367" s="1"/>
  <c r="S177" i="367"/>
  <c r="U177" i="367" s="1"/>
  <c r="S175" i="367"/>
  <c r="U175" i="367" s="1"/>
  <c r="S173" i="367"/>
  <c r="U173" i="367" s="1"/>
  <c r="S171" i="367"/>
  <c r="U171" i="367" s="1"/>
  <c r="S169" i="367"/>
  <c r="U169" i="367" s="1"/>
  <c r="S167" i="367"/>
  <c r="U167" i="367" s="1"/>
  <c r="S165" i="367"/>
  <c r="U165" i="367" s="1"/>
  <c r="S163" i="367"/>
  <c r="U163" i="367" s="1"/>
  <c r="S161" i="367"/>
  <c r="U161" i="367" s="1"/>
  <c r="S159" i="367"/>
  <c r="U159" i="367" s="1"/>
  <c r="S157" i="367"/>
  <c r="U157" i="367" s="1"/>
  <c r="S155" i="367"/>
  <c r="U155" i="367" s="1"/>
  <c r="S153" i="367"/>
  <c r="U153" i="367" s="1"/>
  <c r="S151" i="367"/>
  <c r="U151" i="367" s="1"/>
  <c r="S149" i="367"/>
  <c r="U149" i="367" s="1"/>
  <c r="S147" i="367"/>
  <c r="U147" i="367" s="1"/>
  <c r="S145" i="367"/>
  <c r="U145" i="367" s="1"/>
  <c r="S143" i="367"/>
  <c r="U143" i="367" s="1"/>
  <c r="S141" i="367"/>
  <c r="U141" i="367" s="1"/>
  <c r="S139" i="367"/>
  <c r="U139" i="367" s="1"/>
  <c r="S137" i="367"/>
  <c r="U137" i="367" s="1"/>
  <c r="S135" i="367"/>
  <c r="U135" i="367" s="1"/>
  <c r="S133" i="367"/>
  <c r="U133" i="367" s="1"/>
  <c r="S131" i="367"/>
  <c r="U131" i="367" s="1"/>
  <c r="S129" i="367"/>
  <c r="U129" i="367" s="1"/>
  <c r="S127" i="367"/>
  <c r="U127" i="367" s="1"/>
  <c r="S125" i="367"/>
  <c r="U125" i="367" s="1"/>
  <c r="S123" i="367"/>
  <c r="U123" i="367" s="1"/>
  <c r="S121" i="367"/>
  <c r="U121" i="367" s="1"/>
  <c r="S119" i="367"/>
  <c r="U119" i="367" s="1"/>
  <c r="S117" i="367"/>
  <c r="U117" i="367" s="1"/>
  <c r="S115" i="367"/>
  <c r="U115" i="367" s="1"/>
  <c r="S113" i="367"/>
  <c r="U113" i="367" s="1"/>
  <c r="S111" i="367"/>
  <c r="U111" i="367" s="1"/>
  <c r="S109" i="367"/>
  <c r="U109" i="367" s="1"/>
  <c r="S107" i="367"/>
  <c r="U107" i="367" s="1"/>
  <c r="P155" i="367"/>
  <c r="P139" i="367"/>
  <c r="N253" i="367"/>
  <c r="P253" i="367" s="1"/>
  <c r="N251" i="367"/>
  <c r="P251" i="367" s="1"/>
  <c r="N249" i="367"/>
  <c r="P249" i="367" s="1"/>
  <c r="N247" i="367"/>
  <c r="P247" i="367" s="1"/>
  <c r="N245" i="367"/>
  <c r="P245" i="367" s="1"/>
  <c r="N243" i="367"/>
  <c r="P243" i="367" s="1"/>
  <c r="N241" i="367"/>
  <c r="P241" i="367" s="1"/>
  <c r="N239" i="367"/>
  <c r="P239" i="367" s="1"/>
  <c r="N237" i="367"/>
  <c r="P237" i="367" s="1"/>
  <c r="N235" i="367"/>
  <c r="P235" i="367" s="1"/>
  <c r="N233" i="367"/>
  <c r="P233" i="367" s="1"/>
  <c r="N231" i="367"/>
  <c r="P231" i="367" s="1"/>
  <c r="N229" i="367"/>
  <c r="P229" i="367" s="1"/>
  <c r="N227" i="367"/>
  <c r="P227" i="367" s="1"/>
  <c r="N225" i="367"/>
  <c r="P225" i="367" s="1"/>
  <c r="N223" i="367"/>
  <c r="P223" i="367" s="1"/>
  <c r="N221" i="367"/>
  <c r="P221" i="367" s="1"/>
  <c r="N219" i="367"/>
  <c r="P219" i="367" s="1"/>
  <c r="N217" i="367"/>
  <c r="P217" i="367" s="1"/>
  <c r="N215" i="367"/>
  <c r="P215" i="367" s="1"/>
  <c r="N213" i="367"/>
  <c r="P213" i="367" s="1"/>
  <c r="N211" i="367"/>
  <c r="P211" i="367" s="1"/>
  <c r="N209" i="367"/>
  <c r="P209" i="367" s="1"/>
  <c r="N207" i="367"/>
  <c r="P207" i="367" s="1"/>
  <c r="N205" i="367"/>
  <c r="P205" i="367" s="1"/>
  <c r="N203" i="367"/>
  <c r="P203" i="367" s="1"/>
  <c r="N201" i="367"/>
  <c r="P201" i="367" s="1"/>
  <c r="N199" i="367"/>
  <c r="P199" i="367" s="1"/>
  <c r="N197" i="367"/>
  <c r="P197" i="367" s="1"/>
  <c r="N195" i="367"/>
  <c r="P195" i="367" s="1"/>
  <c r="N193" i="367"/>
  <c r="P193" i="367" s="1"/>
  <c r="N191" i="367"/>
  <c r="P191" i="367" s="1"/>
  <c r="N189" i="367"/>
  <c r="P189" i="367" s="1"/>
  <c r="N187" i="367"/>
  <c r="P187" i="367" s="1"/>
  <c r="N185" i="367"/>
  <c r="P185" i="367" s="1"/>
  <c r="N183" i="367"/>
  <c r="P183" i="367" s="1"/>
  <c r="N181" i="367"/>
  <c r="P181" i="367" s="1"/>
  <c r="N179" i="367"/>
  <c r="P179" i="367" s="1"/>
  <c r="N177" i="367"/>
  <c r="P177" i="367" s="1"/>
  <c r="N175" i="367"/>
  <c r="P175" i="367" s="1"/>
  <c r="N173" i="367"/>
  <c r="P173" i="367" s="1"/>
  <c r="N171" i="367"/>
  <c r="P171" i="367" s="1"/>
  <c r="N169" i="367"/>
  <c r="P169" i="367" s="1"/>
  <c r="N167" i="367"/>
  <c r="P167" i="367" s="1"/>
  <c r="N165" i="367"/>
  <c r="P165" i="367" s="1"/>
  <c r="N163" i="367"/>
  <c r="P163" i="367" s="1"/>
  <c r="N161" i="367"/>
  <c r="P161" i="367" s="1"/>
  <c r="N159" i="367"/>
  <c r="P159" i="367" s="1"/>
  <c r="N157" i="367"/>
  <c r="P157" i="367" s="1"/>
  <c r="N155" i="367"/>
  <c r="N153" i="367"/>
  <c r="P153" i="367" s="1"/>
  <c r="N151" i="367"/>
  <c r="P151" i="367" s="1"/>
  <c r="N149" i="367"/>
  <c r="P149" i="367" s="1"/>
  <c r="N147" i="367"/>
  <c r="P147" i="367" s="1"/>
  <c r="N145" i="367"/>
  <c r="P145" i="367" s="1"/>
  <c r="N143" i="367"/>
  <c r="P143" i="367" s="1"/>
  <c r="N141" i="367"/>
  <c r="P141" i="367" s="1"/>
  <c r="N139" i="367"/>
  <c r="N137" i="367"/>
  <c r="P137" i="367" s="1"/>
  <c r="N135" i="367"/>
  <c r="P135" i="367" s="1"/>
  <c r="N133" i="367"/>
  <c r="P133" i="367" s="1"/>
  <c r="N131" i="367"/>
  <c r="P131" i="367" s="1"/>
  <c r="N129" i="367"/>
  <c r="P129" i="367" s="1"/>
  <c r="N127" i="367"/>
  <c r="P127" i="367" s="1"/>
  <c r="N125" i="367"/>
  <c r="P125" i="367" s="1"/>
  <c r="N123" i="367"/>
  <c r="P123" i="367" s="1"/>
  <c r="N121" i="367"/>
  <c r="P121" i="367" s="1"/>
  <c r="N119" i="367"/>
  <c r="P119" i="367" s="1"/>
  <c r="N117" i="367"/>
  <c r="P117" i="367" s="1"/>
  <c r="N115" i="367"/>
  <c r="P115" i="367" s="1"/>
  <c r="N113" i="367"/>
  <c r="P113" i="367" s="1"/>
  <c r="N111" i="367"/>
  <c r="P111" i="367" s="1"/>
  <c r="N109" i="367"/>
  <c r="P109" i="367" s="1"/>
  <c r="N107" i="367"/>
  <c r="P107" i="367" s="1"/>
  <c r="N105" i="367"/>
  <c r="P105" i="367" s="1"/>
  <c r="N103" i="367"/>
  <c r="P103" i="367" s="1"/>
  <c r="N101" i="367"/>
  <c r="P101" i="367" s="1"/>
  <c r="N99" i="367"/>
  <c r="P99" i="367" s="1"/>
  <c r="N97" i="367"/>
  <c r="P97" i="367" s="1"/>
  <c r="N95" i="367"/>
  <c r="P95" i="367" s="1"/>
  <c r="N93" i="367"/>
  <c r="P93" i="367" s="1"/>
  <c r="N91" i="367"/>
  <c r="P91" i="367" s="1"/>
  <c r="N89" i="367"/>
  <c r="P89" i="367" s="1"/>
  <c r="N87" i="367"/>
  <c r="P87" i="367" s="1"/>
  <c r="N85" i="367"/>
  <c r="P85" i="367" s="1"/>
  <c r="S252" i="367"/>
  <c r="U252" i="367" s="1"/>
  <c r="S250" i="367"/>
  <c r="U250" i="367" s="1"/>
  <c r="S248" i="367"/>
  <c r="U248" i="367" s="1"/>
  <c r="S246" i="367"/>
  <c r="U246" i="367" s="1"/>
  <c r="S244" i="367"/>
  <c r="U244" i="367" s="1"/>
  <c r="S242" i="367"/>
  <c r="U242" i="367" s="1"/>
  <c r="S240" i="367"/>
  <c r="U240" i="367" s="1"/>
  <c r="S238" i="367"/>
  <c r="U238" i="367" s="1"/>
  <c r="S236" i="367"/>
  <c r="U236" i="367" s="1"/>
  <c r="S234" i="367"/>
  <c r="U234" i="367" s="1"/>
  <c r="S232" i="367"/>
  <c r="U232" i="367" s="1"/>
  <c r="S230" i="367"/>
  <c r="U230" i="367" s="1"/>
  <c r="S228" i="367"/>
  <c r="U228" i="367" s="1"/>
  <c r="S226" i="367"/>
  <c r="U226" i="367" s="1"/>
  <c r="S224" i="367"/>
  <c r="U224" i="367" s="1"/>
  <c r="S222" i="367"/>
  <c r="U222" i="367" s="1"/>
  <c r="S220" i="367"/>
  <c r="U220" i="367" s="1"/>
  <c r="S218" i="367"/>
  <c r="U218" i="367" s="1"/>
  <c r="S216" i="367"/>
  <c r="U216" i="367" s="1"/>
  <c r="S214" i="367"/>
  <c r="U214" i="367" s="1"/>
  <c r="S212" i="367"/>
  <c r="U212" i="367" s="1"/>
  <c r="S210" i="367"/>
  <c r="U210" i="367" s="1"/>
  <c r="S208" i="367"/>
  <c r="U208" i="367" s="1"/>
  <c r="S206" i="367"/>
  <c r="U206" i="367" s="1"/>
  <c r="S204" i="367"/>
  <c r="U204" i="367" s="1"/>
  <c r="S202" i="367"/>
  <c r="U202" i="367" s="1"/>
  <c r="S200" i="367"/>
  <c r="U200" i="367" s="1"/>
  <c r="S198" i="367"/>
  <c r="U198" i="367" s="1"/>
  <c r="S196" i="367"/>
  <c r="U196" i="367" s="1"/>
  <c r="S194" i="367"/>
  <c r="U194" i="367" s="1"/>
  <c r="S192" i="367"/>
  <c r="U192" i="367" s="1"/>
  <c r="S190" i="367"/>
  <c r="U190" i="367" s="1"/>
  <c r="S188" i="367"/>
  <c r="U188" i="367" s="1"/>
  <c r="S186" i="367"/>
  <c r="U186" i="367" s="1"/>
  <c r="S184" i="367"/>
  <c r="U184" i="367" s="1"/>
  <c r="S182" i="367"/>
  <c r="U182" i="367" s="1"/>
  <c r="S180" i="367"/>
  <c r="U180" i="367" s="1"/>
  <c r="S178" i="367"/>
  <c r="U178" i="367" s="1"/>
  <c r="S176" i="367"/>
  <c r="U176" i="367" s="1"/>
  <c r="S174" i="367"/>
  <c r="U174" i="367" s="1"/>
  <c r="S172" i="367"/>
  <c r="U172" i="367" s="1"/>
  <c r="S170" i="367"/>
  <c r="U170" i="367" s="1"/>
  <c r="S168" i="367"/>
  <c r="U168" i="367" s="1"/>
  <c r="S166" i="367"/>
  <c r="U166" i="367" s="1"/>
  <c r="S164" i="367"/>
  <c r="U164" i="367" s="1"/>
  <c r="S162" i="367"/>
  <c r="U162" i="367" s="1"/>
  <c r="S160" i="367"/>
  <c r="U160" i="367" s="1"/>
  <c r="S158" i="367"/>
  <c r="U158" i="367" s="1"/>
  <c r="S156" i="367"/>
  <c r="U156" i="367" s="1"/>
  <c r="S154" i="367"/>
  <c r="U154" i="367" s="1"/>
  <c r="S152" i="367"/>
  <c r="U152" i="367" s="1"/>
  <c r="S150" i="367"/>
  <c r="U150" i="367" s="1"/>
  <c r="S148" i="367"/>
  <c r="U148" i="367" s="1"/>
  <c r="S146" i="367"/>
  <c r="U146" i="367" s="1"/>
  <c r="S144" i="367"/>
  <c r="U144" i="367" s="1"/>
  <c r="S142" i="367"/>
  <c r="U142" i="367" s="1"/>
  <c r="S140" i="367"/>
  <c r="U140" i="367" s="1"/>
  <c r="S138" i="367"/>
  <c r="U138" i="367" s="1"/>
  <c r="S136" i="367"/>
  <c r="U136" i="367" s="1"/>
  <c r="S134" i="367"/>
  <c r="U134" i="367" s="1"/>
  <c r="S132" i="367"/>
  <c r="U132" i="367" s="1"/>
  <c r="S130" i="367"/>
  <c r="U130" i="367" s="1"/>
  <c r="S128" i="367"/>
  <c r="U128" i="367" s="1"/>
  <c r="S126" i="367"/>
  <c r="U126" i="367" s="1"/>
  <c r="P174" i="367"/>
  <c r="P142" i="367"/>
  <c r="P126" i="367"/>
  <c r="P124" i="367"/>
  <c r="N252" i="367"/>
  <c r="P252" i="367" s="1"/>
  <c r="N236" i="367"/>
  <c r="P236" i="367" s="1"/>
  <c r="N220" i="367"/>
  <c r="P220" i="367" s="1"/>
  <c r="N204" i="367"/>
  <c r="P204" i="367" s="1"/>
  <c r="N188" i="367"/>
  <c r="P188" i="367" s="1"/>
  <c r="N172" i="367"/>
  <c r="P172" i="367" s="1"/>
  <c r="N156" i="367"/>
  <c r="P156" i="367" s="1"/>
  <c r="N140" i="367"/>
  <c r="P140" i="367" s="1"/>
  <c r="S124" i="367"/>
  <c r="U124" i="367" s="1"/>
  <c r="S116" i="367"/>
  <c r="U116" i="367" s="1"/>
  <c r="N100" i="367"/>
  <c r="P100" i="367" s="1"/>
  <c r="S96" i="367"/>
  <c r="U96" i="367" s="1"/>
  <c r="S93" i="367"/>
  <c r="U93" i="367" s="1"/>
  <c r="U86" i="367"/>
  <c r="N84" i="367"/>
  <c r="P84" i="367" s="1"/>
  <c r="N82" i="367"/>
  <c r="N80" i="367"/>
  <c r="N78" i="367"/>
  <c r="P78" i="367" s="1"/>
  <c r="N76" i="367"/>
  <c r="P76" i="367" s="1"/>
  <c r="N74" i="367"/>
  <c r="N72" i="367"/>
  <c r="N70" i="367"/>
  <c r="P70" i="367" s="1"/>
  <c r="N68" i="367"/>
  <c r="P68" i="367" s="1"/>
  <c r="N66" i="367"/>
  <c r="N64" i="367"/>
  <c r="P64" i="367" s="1"/>
  <c r="N62" i="367"/>
  <c r="P62" i="367" s="1"/>
  <c r="N60" i="367"/>
  <c r="N58" i="367"/>
  <c r="N56" i="367"/>
  <c r="P56" i="367" s="1"/>
  <c r="N54" i="367"/>
  <c r="P54" i="367" s="1"/>
  <c r="N52" i="367"/>
  <c r="P52" i="367" s="1"/>
  <c r="N50" i="367"/>
  <c r="N48" i="367"/>
  <c r="P48" i="367" s="1"/>
  <c r="N46" i="367"/>
  <c r="P46" i="367" s="1"/>
  <c r="N44" i="367"/>
  <c r="N42" i="367"/>
  <c r="N40" i="367"/>
  <c r="P40" i="367" s="1"/>
  <c r="N38" i="367"/>
  <c r="P38" i="367" s="1"/>
  <c r="N36" i="367"/>
  <c r="P36" i="367" s="1"/>
  <c r="N34" i="367"/>
  <c r="N32" i="367"/>
  <c r="P32" i="367" s="1"/>
  <c r="N30" i="367"/>
  <c r="N28" i="367"/>
  <c r="P28" i="367" s="1"/>
  <c r="N26" i="367"/>
  <c r="N24" i="367"/>
  <c r="P24" i="367" s="1"/>
  <c r="N22" i="367"/>
  <c r="P22" i="367" s="1"/>
  <c r="N20" i="367"/>
  <c r="P20" i="367" s="1"/>
  <c r="N18" i="367"/>
  <c r="N16" i="367"/>
  <c r="P16" i="367" s="1"/>
  <c r="N14" i="367"/>
  <c r="P14" i="367" s="1"/>
  <c r="N12" i="367"/>
  <c r="N10" i="367"/>
  <c r="N8" i="367"/>
  <c r="P8" i="367" s="1"/>
  <c r="N6" i="367"/>
  <c r="P6" i="367" s="1"/>
  <c r="P4" i="367"/>
  <c r="N250" i="367"/>
  <c r="P250" i="367" s="1"/>
  <c r="N234" i="367"/>
  <c r="P234" i="367" s="1"/>
  <c r="N218" i="367"/>
  <c r="P218" i="367" s="1"/>
  <c r="N202" i="367"/>
  <c r="P202" i="367" s="1"/>
  <c r="N186" i="367"/>
  <c r="P186" i="367" s="1"/>
  <c r="N170" i="367"/>
  <c r="P170" i="367" s="1"/>
  <c r="N154" i="367"/>
  <c r="P154" i="367" s="1"/>
  <c r="N138" i="367"/>
  <c r="P138" i="367" s="1"/>
  <c r="N124" i="367"/>
  <c r="N116" i="367"/>
  <c r="P116" i="367" s="1"/>
  <c r="N110" i="367"/>
  <c r="P110" i="367" s="1"/>
  <c r="N106" i="367"/>
  <c r="P106" i="367" s="1"/>
  <c r="S102" i="367"/>
  <c r="U102" i="367" s="1"/>
  <c r="S99" i="367"/>
  <c r="U99" i="367" s="1"/>
  <c r="P96" i="367"/>
  <c r="U92" i="367"/>
  <c r="N90" i="367"/>
  <c r="P90" i="367" s="1"/>
  <c r="S86" i="367"/>
  <c r="U59" i="367"/>
  <c r="U43" i="367"/>
  <c r="N4" i="367"/>
  <c r="N248" i="367"/>
  <c r="P248" i="367" s="1"/>
  <c r="N232" i="367"/>
  <c r="P232" i="367" s="1"/>
  <c r="N216" i="367"/>
  <c r="P216" i="367" s="1"/>
  <c r="N200" i="367"/>
  <c r="P200" i="367" s="1"/>
  <c r="N184" i="367"/>
  <c r="P184" i="367" s="1"/>
  <c r="N168" i="367"/>
  <c r="P168" i="367" s="1"/>
  <c r="N152" i="367"/>
  <c r="P152" i="367" s="1"/>
  <c r="N136" i="367"/>
  <c r="P136" i="367" s="1"/>
  <c r="S122" i="367"/>
  <c r="U122" i="367" s="1"/>
  <c r="S114" i="367"/>
  <c r="U114" i="367" s="1"/>
  <c r="S105" i="367"/>
  <c r="U105" i="367" s="1"/>
  <c r="N96" i="367"/>
  <c r="S92" i="367"/>
  <c r="S89" i="367"/>
  <c r="U89" i="367" s="1"/>
  <c r="S83" i="367"/>
  <c r="U83" i="367" s="1"/>
  <c r="S81" i="367"/>
  <c r="U81" i="367" s="1"/>
  <c r="S79" i="367"/>
  <c r="U79" i="367" s="1"/>
  <c r="S77" i="367"/>
  <c r="U77" i="367" s="1"/>
  <c r="S75" i="367"/>
  <c r="U75" i="367" s="1"/>
  <c r="S73" i="367"/>
  <c r="U73" i="367" s="1"/>
  <c r="S71" i="367"/>
  <c r="U71" i="367" s="1"/>
  <c r="S69" i="367"/>
  <c r="U69" i="367" s="1"/>
  <c r="S67" i="367"/>
  <c r="U67" i="367" s="1"/>
  <c r="S65" i="367"/>
  <c r="U65" i="367" s="1"/>
  <c r="S63" i="367"/>
  <c r="U63" i="367" s="1"/>
  <c r="S61" i="367"/>
  <c r="U61" i="367" s="1"/>
  <c r="S59" i="367"/>
  <c r="S57" i="367"/>
  <c r="U57" i="367" s="1"/>
  <c r="S55" i="367"/>
  <c r="U55" i="367" s="1"/>
  <c r="S53" i="367"/>
  <c r="U53" i="367" s="1"/>
  <c r="S51" i="367"/>
  <c r="U51" i="367" s="1"/>
  <c r="S49" i="367"/>
  <c r="U49" i="367" s="1"/>
  <c r="S47" i="367"/>
  <c r="U47" i="367" s="1"/>
  <c r="S45" i="367"/>
  <c r="U45" i="367" s="1"/>
  <c r="S43" i="367"/>
  <c r="S41" i="367"/>
  <c r="U41" i="367" s="1"/>
  <c r="S39" i="367"/>
  <c r="U39" i="367" s="1"/>
  <c r="S37" i="367"/>
  <c r="U37" i="367" s="1"/>
  <c r="S35" i="367"/>
  <c r="U35" i="367" s="1"/>
  <c r="S33" i="367"/>
  <c r="U33" i="367" s="1"/>
  <c r="S31" i="367"/>
  <c r="U31" i="367" s="1"/>
  <c r="S29" i="367"/>
  <c r="U29" i="367" s="1"/>
  <c r="S27" i="367"/>
  <c r="U27" i="367" s="1"/>
  <c r="S25" i="367"/>
  <c r="U25" i="367" s="1"/>
  <c r="S23" i="367"/>
  <c r="U23" i="367" s="1"/>
  <c r="S21" i="367"/>
  <c r="U21" i="367" s="1"/>
  <c r="S19" i="367"/>
  <c r="U19" i="367" s="1"/>
  <c r="S17" i="367"/>
  <c r="U17" i="367" s="1"/>
  <c r="S15" i="367"/>
  <c r="U15" i="367" s="1"/>
  <c r="S13" i="367"/>
  <c r="U13" i="367" s="1"/>
  <c r="S11" i="367"/>
  <c r="U11" i="367" s="1"/>
  <c r="S9" i="367"/>
  <c r="U9" i="367" s="1"/>
  <c r="S7" i="367"/>
  <c r="U7" i="367" s="1"/>
  <c r="S5" i="367"/>
  <c r="U5" i="367" s="1"/>
  <c r="I4" i="367"/>
  <c r="M3" i="1" s="1"/>
  <c r="N246" i="367"/>
  <c r="P246" i="367" s="1"/>
  <c r="N230" i="367"/>
  <c r="P230" i="367" s="1"/>
  <c r="N214" i="367"/>
  <c r="P214" i="367" s="1"/>
  <c r="N198" i="367"/>
  <c r="P198" i="367" s="1"/>
  <c r="N182" i="367"/>
  <c r="P182" i="367" s="1"/>
  <c r="N166" i="367"/>
  <c r="P166" i="367" s="1"/>
  <c r="N150" i="367"/>
  <c r="P150" i="367" s="1"/>
  <c r="N134" i="367"/>
  <c r="P134" i="367" s="1"/>
  <c r="N122" i="367"/>
  <c r="P122" i="367" s="1"/>
  <c r="N114" i="367"/>
  <c r="P114" i="367" s="1"/>
  <c r="S108" i="367"/>
  <c r="U108" i="367" s="1"/>
  <c r="N102" i="367"/>
  <c r="P102" i="367" s="1"/>
  <c r="S98" i="367"/>
  <c r="U98" i="367" s="1"/>
  <c r="S95" i="367"/>
  <c r="U95" i="367" s="1"/>
  <c r="N86" i="367"/>
  <c r="P86" i="367" s="1"/>
  <c r="P29" i="367"/>
  <c r="N244" i="367"/>
  <c r="P244" i="367" s="1"/>
  <c r="N228" i="367"/>
  <c r="P228" i="367" s="1"/>
  <c r="N212" i="367"/>
  <c r="P212" i="367" s="1"/>
  <c r="N196" i="367"/>
  <c r="P196" i="367" s="1"/>
  <c r="N180" i="367"/>
  <c r="P180" i="367" s="1"/>
  <c r="N164" i="367"/>
  <c r="P164" i="367" s="1"/>
  <c r="N148" i="367"/>
  <c r="P148" i="367" s="1"/>
  <c r="N132" i="367"/>
  <c r="P132" i="367" s="1"/>
  <c r="S120" i="367"/>
  <c r="U120" i="367" s="1"/>
  <c r="S112" i="367"/>
  <c r="U112" i="367" s="1"/>
  <c r="S104" i="367"/>
  <c r="U104" i="367" s="1"/>
  <c r="S101" i="367"/>
  <c r="U101" i="367" s="1"/>
  <c r="N92" i="367"/>
  <c r="P92" i="367" s="1"/>
  <c r="S88" i="367"/>
  <c r="U88" i="367" s="1"/>
  <c r="S85" i="367"/>
  <c r="U85" i="367" s="1"/>
  <c r="N83" i="367"/>
  <c r="P83" i="367" s="1"/>
  <c r="N81" i="367"/>
  <c r="P81" i="367" s="1"/>
  <c r="N79" i="367"/>
  <c r="P79" i="367" s="1"/>
  <c r="N77" i="367"/>
  <c r="P77" i="367" s="1"/>
  <c r="N75" i="367"/>
  <c r="P75" i="367" s="1"/>
  <c r="N73" i="367"/>
  <c r="P73" i="367" s="1"/>
  <c r="N71" i="367"/>
  <c r="P71" i="367" s="1"/>
  <c r="N69" i="367"/>
  <c r="P69" i="367" s="1"/>
  <c r="N67" i="367"/>
  <c r="P67" i="367" s="1"/>
  <c r="N65" i="367"/>
  <c r="P65" i="367" s="1"/>
  <c r="N63" i="367"/>
  <c r="P63" i="367" s="1"/>
  <c r="N61" i="367"/>
  <c r="P61" i="367" s="1"/>
  <c r="N59" i="367"/>
  <c r="P59" i="367" s="1"/>
  <c r="N57" i="367"/>
  <c r="P57" i="367" s="1"/>
  <c r="N55" i="367"/>
  <c r="P55" i="367" s="1"/>
  <c r="N53" i="367"/>
  <c r="P53" i="367" s="1"/>
  <c r="N51" i="367"/>
  <c r="P51" i="367" s="1"/>
  <c r="N49" i="367"/>
  <c r="P49" i="367" s="1"/>
  <c r="N47" i="367"/>
  <c r="P47" i="367" s="1"/>
  <c r="N45" i="367"/>
  <c r="P45" i="367" s="1"/>
  <c r="N43" i="367"/>
  <c r="P43" i="367" s="1"/>
  <c r="N41" i="367"/>
  <c r="P41" i="367" s="1"/>
  <c r="N39" i="367"/>
  <c r="P39" i="367" s="1"/>
  <c r="N37" i="367"/>
  <c r="P37" i="367" s="1"/>
  <c r="N35" i="367"/>
  <c r="P35" i="367" s="1"/>
  <c r="N33" i="367"/>
  <c r="P33" i="367" s="1"/>
  <c r="N31" i="367"/>
  <c r="P31" i="367" s="1"/>
  <c r="N29" i="367"/>
  <c r="N27" i="367"/>
  <c r="P27" i="367" s="1"/>
  <c r="N25" i="367"/>
  <c r="P25" i="367" s="1"/>
  <c r="N23" i="367"/>
  <c r="P23" i="367" s="1"/>
  <c r="N21" i="367"/>
  <c r="P21" i="367" s="1"/>
  <c r="N19" i="367"/>
  <c r="P19" i="367" s="1"/>
  <c r="N17" i="367"/>
  <c r="P17" i="367" s="1"/>
  <c r="N15" i="367"/>
  <c r="P15" i="367" s="1"/>
  <c r="N13" i="367"/>
  <c r="P13" i="367" s="1"/>
  <c r="N11" i="367"/>
  <c r="P11" i="367" s="1"/>
  <c r="N9" i="367"/>
  <c r="P9" i="367" s="1"/>
  <c r="N7" i="367"/>
  <c r="P7" i="367" s="1"/>
  <c r="N5" i="367"/>
  <c r="P5" i="367" s="1"/>
  <c r="N240" i="367"/>
  <c r="P240" i="367" s="1"/>
  <c r="N224" i="367"/>
  <c r="P224" i="367" s="1"/>
  <c r="N208" i="367"/>
  <c r="P208" i="367" s="1"/>
  <c r="N192" i="367"/>
  <c r="P192" i="367" s="1"/>
  <c r="N176" i="367"/>
  <c r="P176" i="367" s="1"/>
  <c r="N160" i="367"/>
  <c r="P160" i="367" s="1"/>
  <c r="N144" i="367"/>
  <c r="P144" i="367" s="1"/>
  <c r="N128" i="367"/>
  <c r="P128" i="367" s="1"/>
  <c r="S118" i="367"/>
  <c r="U118" i="367" s="1"/>
  <c r="N112" i="367"/>
  <c r="P112" i="367" s="1"/>
  <c r="N104" i="367"/>
  <c r="S100" i="367"/>
  <c r="U100" i="367" s="1"/>
  <c r="S97" i="367"/>
  <c r="U97" i="367" s="1"/>
  <c r="N88" i="367"/>
  <c r="S84" i="367"/>
  <c r="U84" i="367" s="1"/>
  <c r="S82" i="367"/>
  <c r="U82" i="367" s="1"/>
  <c r="S80" i="367"/>
  <c r="S78" i="367"/>
  <c r="U78" i="367" s="1"/>
  <c r="S76" i="367"/>
  <c r="U76" i="367" s="1"/>
  <c r="S74" i="367"/>
  <c r="U74" i="367" s="1"/>
  <c r="S72" i="367"/>
  <c r="S70" i="367"/>
  <c r="U70" i="367" s="1"/>
  <c r="S68" i="367"/>
  <c r="U68" i="367" s="1"/>
  <c r="N242" i="367"/>
  <c r="P242" i="367" s="1"/>
  <c r="N226" i="367"/>
  <c r="P226" i="367" s="1"/>
  <c r="N210" i="367"/>
  <c r="P210" i="367" s="1"/>
  <c r="N194" i="367"/>
  <c r="P194" i="367" s="1"/>
  <c r="N178" i="367"/>
  <c r="P178" i="367" s="1"/>
  <c r="N162" i="367"/>
  <c r="P162" i="367" s="1"/>
  <c r="N146" i="367"/>
  <c r="P146" i="367" s="1"/>
  <c r="N130" i="367"/>
  <c r="P130" i="367" s="1"/>
  <c r="N120" i="367"/>
  <c r="P120" i="367" s="1"/>
  <c r="N108" i="367"/>
  <c r="P108" i="367" s="1"/>
  <c r="P104" i="367"/>
  <c r="N98" i="367"/>
  <c r="P98" i="367" s="1"/>
  <c r="S94" i="367"/>
  <c r="U94" i="367" s="1"/>
  <c r="S91" i="367"/>
  <c r="U91" i="367" s="1"/>
  <c r="P88" i="367"/>
  <c r="U80" i="367"/>
  <c r="U72" i="367"/>
  <c r="U56" i="367"/>
  <c r="U38" i="367"/>
  <c r="U18" i="367"/>
  <c r="U8" i="367"/>
  <c r="I5" i="367"/>
  <c r="N3" i="1" s="1"/>
  <c r="S32" i="367"/>
  <c r="U32" i="367" s="1"/>
  <c r="P10" i="367"/>
  <c r="P26" i="367"/>
  <c r="P34" i="367"/>
  <c r="P42" i="367"/>
  <c r="P50" i="367"/>
  <c r="P58" i="367"/>
  <c r="P66" i="367"/>
  <c r="P80" i="367"/>
  <c r="S103" i="367"/>
  <c r="U103" i="367" s="1"/>
  <c r="N190" i="367"/>
  <c r="P190" i="367" s="1"/>
  <c r="S90" i="367"/>
  <c r="U90" i="367" s="1"/>
  <c r="S30" i="367"/>
  <c r="U30" i="367" s="1"/>
  <c r="S62" i="367"/>
  <c r="U62" i="367" s="1"/>
  <c r="S64" i="367"/>
  <c r="U64" i="367" s="1"/>
  <c r="I3" i="367"/>
  <c r="K3" i="1" s="1"/>
  <c r="S10" i="367"/>
  <c r="U10" i="367" s="1"/>
  <c r="S18" i="367"/>
  <c r="S26" i="367"/>
  <c r="U26" i="367" s="1"/>
  <c r="S34" i="367"/>
  <c r="U34" i="367" s="1"/>
  <c r="S42" i="367"/>
  <c r="U42" i="367" s="1"/>
  <c r="S50" i="367"/>
  <c r="U50" i="367" s="1"/>
  <c r="S58" i="367"/>
  <c r="U58" i="367" s="1"/>
  <c r="S66" i="367"/>
  <c r="U66" i="367" s="1"/>
  <c r="P82" i="367"/>
  <c r="S106" i="367"/>
  <c r="U106" i="367" s="1"/>
  <c r="N206" i="367"/>
  <c r="P206" i="367" s="1"/>
  <c r="P30" i="367"/>
  <c r="S14" i="367"/>
  <c r="U14" i="367" s="1"/>
  <c r="S54" i="367"/>
  <c r="U54" i="367" s="1"/>
  <c r="N94" i="367"/>
  <c r="P94" i="367" s="1"/>
  <c r="S24" i="367"/>
  <c r="U24" i="367" s="1"/>
  <c r="S48" i="367"/>
  <c r="U48" i="367" s="1"/>
  <c r="S4" i="367"/>
  <c r="P12" i="367"/>
  <c r="P44" i="367"/>
  <c r="P60" i="367"/>
  <c r="S110" i="367"/>
  <c r="U110" i="367" s="1"/>
  <c r="N222" i="367"/>
  <c r="P222" i="367" s="1"/>
  <c r="P72" i="367"/>
  <c r="S22" i="367"/>
  <c r="U22" i="367" s="1"/>
  <c r="S46" i="367"/>
  <c r="U46" i="367" s="1"/>
  <c r="P74" i="367"/>
  <c r="S16" i="367"/>
  <c r="U16" i="367" s="1"/>
  <c r="S40" i="367"/>
  <c r="U40" i="367" s="1"/>
  <c r="P18" i="367"/>
  <c r="U4" i="367"/>
  <c r="S12" i="367"/>
  <c r="U12" i="367" s="1"/>
  <c r="S20" i="367"/>
  <c r="U20" i="367" s="1"/>
  <c r="S28" i="367"/>
  <c r="U28" i="367" s="1"/>
  <c r="S36" i="367"/>
  <c r="U36" i="367" s="1"/>
  <c r="S44" i="367"/>
  <c r="U44" i="367" s="1"/>
  <c r="S52" i="367"/>
  <c r="U52" i="367" s="1"/>
  <c r="S60" i="367"/>
  <c r="U60" i="367" s="1"/>
  <c r="S87" i="367"/>
  <c r="U87" i="367" s="1"/>
  <c r="N118" i="367"/>
  <c r="P118" i="367" s="1"/>
  <c r="N238" i="367"/>
  <c r="P238" i="367" s="1"/>
  <c r="U169" i="366"/>
  <c r="U137" i="366"/>
  <c r="S253" i="366"/>
  <c r="U253" i="366" s="1"/>
  <c r="S251" i="366"/>
  <c r="U251" i="366" s="1"/>
  <c r="S249" i="366"/>
  <c r="U249" i="366" s="1"/>
  <c r="S247" i="366"/>
  <c r="U247" i="366" s="1"/>
  <c r="S245" i="366"/>
  <c r="U245" i="366" s="1"/>
  <c r="S243" i="366"/>
  <c r="U243" i="366" s="1"/>
  <c r="S241" i="366"/>
  <c r="U241" i="366" s="1"/>
  <c r="S239" i="366"/>
  <c r="U239" i="366" s="1"/>
  <c r="S237" i="366"/>
  <c r="U237" i="366" s="1"/>
  <c r="S235" i="366"/>
  <c r="U235" i="366" s="1"/>
  <c r="S233" i="366"/>
  <c r="U233" i="366" s="1"/>
  <c r="S231" i="366"/>
  <c r="U231" i="366" s="1"/>
  <c r="S229" i="366"/>
  <c r="U229" i="366" s="1"/>
  <c r="S227" i="366"/>
  <c r="U227" i="366" s="1"/>
  <c r="S225" i="366"/>
  <c r="U225" i="366" s="1"/>
  <c r="S223" i="366"/>
  <c r="U223" i="366" s="1"/>
  <c r="S221" i="366"/>
  <c r="U221" i="366" s="1"/>
  <c r="S219" i="366"/>
  <c r="U219" i="366" s="1"/>
  <c r="S217" i="366"/>
  <c r="U217" i="366" s="1"/>
  <c r="S215" i="366"/>
  <c r="U215" i="366" s="1"/>
  <c r="S213" i="366"/>
  <c r="U213" i="366" s="1"/>
  <c r="S211" i="366"/>
  <c r="U211" i="366" s="1"/>
  <c r="S209" i="366"/>
  <c r="U209" i="366" s="1"/>
  <c r="S207" i="366"/>
  <c r="U207" i="366" s="1"/>
  <c r="S205" i="366"/>
  <c r="U205" i="366" s="1"/>
  <c r="S203" i="366"/>
  <c r="U203" i="366" s="1"/>
  <c r="S201" i="366"/>
  <c r="U201" i="366" s="1"/>
  <c r="S199" i="366"/>
  <c r="U199" i="366" s="1"/>
  <c r="S197" i="366"/>
  <c r="U197" i="366" s="1"/>
  <c r="S195" i="366"/>
  <c r="U195" i="366" s="1"/>
  <c r="S193" i="366"/>
  <c r="U193" i="366" s="1"/>
  <c r="S191" i="366"/>
  <c r="U191" i="366" s="1"/>
  <c r="S189" i="366"/>
  <c r="U189" i="366" s="1"/>
  <c r="S187" i="366"/>
  <c r="U187" i="366" s="1"/>
  <c r="S185" i="366"/>
  <c r="U185" i="366" s="1"/>
  <c r="S183" i="366"/>
  <c r="U183" i="366" s="1"/>
  <c r="S181" i="366"/>
  <c r="U181" i="366" s="1"/>
  <c r="S179" i="366"/>
  <c r="U179" i="366" s="1"/>
  <c r="S177" i="366"/>
  <c r="U177" i="366" s="1"/>
  <c r="S175" i="366"/>
  <c r="U175" i="366" s="1"/>
  <c r="S173" i="366"/>
  <c r="U173" i="366" s="1"/>
  <c r="S171" i="366"/>
  <c r="U171" i="366" s="1"/>
  <c r="S169" i="366"/>
  <c r="S167" i="366"/>
  <c r="U167" i="366" s="1"/>
  <c r="S165" i="366"/>
  <c r="U165" i="366" s="1"/>
  <c r="S163" i="366"/>
  <c r="U163" i="366" s="1"/>
  <c r="S161" i="366"/>
  <c r="U161" i="366" s="1"/>
  <c r="S159" i="366"/>
  <c r="U159" i="366" s="1"/>
  <c r="S157" i="366"/>
  <c r="U157" i="366" s="1"/>
  <c r="S155" i="366"/>
  <c r="U155" i="366" s="1"/>
  <c r="S153" i="366"/>
  <c r="U153" i="366" s="1"/>
  <c r="S151" i="366"/>
  <c r="U151" i="366" s="1"/>
  <c r="S149" i="366"/>
  <c r="U149" i="366" s="1"/>
  <c r="S147" i="366"/>
  <c r="U147" i="366" s="1"/>
  <c r="S145" i="366"/>
  <c r="U145" i="366" s="1"/>
  <c r="S143" i="366"/>
  <c r="U143" i="366" s="1"/>
  <c r="S141" i="366"/>
  <c r="U141" i="366" s="1"/>
  <c r="S139" i="366"/>
  <c r="U139" i="366" s="1"/>
  <c r="S137" i="366"/>
  <c r="S135" i="366"/>
  <c r="U135" i="366" s="1"/>
  <c r="S133" i="366"/>
  <c r="U133" i="366" s="1"/>
  <c r="S131" i="366"/>
  <c r="U131" i="366" s="1"/>
  <c r="S129" i="366"/>
  <c r="U129" i="366" s="1"/>
  <c r="S127" i="366"/>
  <c r="U127" i="366" s="1"/>
  <c r="S125" i="366"/>
  <c r="U125" i="366" s="1"/>
  <c r="S123" i="366"/>
  <c r="U123" i="366" s="1"/>
  <c r="S121" i="366"/>
  <c r="U121" i="366" s="1"/>
  <c r="S119" i="366"/>
  <c r="U119" i="366" s="1"/>
  <c r="S117" i="366"/>
  <c r="U117" i="366" s="1"/>
  <c r="S115" i="366"/>
  <c r="U115" i="366" s="1"/>
  <c r="S113" i="366"/>
  <c r="U113" i="366" s="1"/>
  <c r="S111" i="366"/>
  <c r="U111" i="366" s="1"/>
  <c r="S109" i="366"/>
  <c r="U109" i="366" s="1"/>
  <c r="S107" i="366"/>
  <c r="U107" i="366" s="1"/>
  <c r="S105" i="366"/>
  <c r="U105" i="366" s="1"/>
  <c r="S103" i="366"/>
  <c r="U103" i="366" s="1"/>
  <c r="P251" i="366"/>
  <c r="P233" i="366"/>
  <c r="P171" i="366"/>
  <c r="P169" i="366"/>
  <c r="P89" i="366"/>
  <c r="N253" i="366"/>
  <c r="P253" i="366" s="1"/>
  <c r="N251" i="366"/>
  <c r="N249" i="366"/>
  <c r="P249" i="366" s="1"/>
  <c r="N247" i="366"/>
  <c r="P247" i="366" s="1"/>
  <c r="N245" i="366"/>
  <c r="P245" i="366" s="1"/>
  <c r="N243" i="366"/>
  <c r="P243" i="366" s="1"/>
  <c r="N241" i="366"/>
  <c r="P241" i="366" s="1"/>
  <c r="N239" i="366"/>
  <c r="P239" i="366" s="1"/>
  <c r="N237" i="366"/>
  <c r="P237" i="366" s="1"/>
  <c r="N235" i="366"/>
  <c r="P235" i="366" s="1"/>
  <c r="N233" i="366"/>
  <c r="N231" i="366"/>
  <c r="P231" i="366" s="1"/>
  <c r="N229" i="366"/>
  <c r="P229" i="366" s="1"/>
  <c r="N227" i="366"/>
  <c r="P227" i="366" s="1"/>
  <c r="N225" i="366"/>
  <c r="P225" i="366" s="1"/>
  <c r="N223" i="366"/>
  <c r="P223" i="366" s="1"/>
  <c r="N221" i="366"/>
  <c r="P221" i="366" s="1"/>
  <c r="N219" i="366"/>
  <c r="P219" i="366" s="1"/>
  <c r="N217" i="366"/>
  <c r="P217" i="366" s="1"/>
  <c r="N215" i="366"/>
  <c r="P215" i="366" s="1"/>
  <c r="N213" i="366"/>
  <c r="P213" i="366" s="1"/>
  <c r="N211" i="366"/>
  <c r="P211" i="366" s="1"/>
  <c r="N209" i="366"/>
  <c r="P209" i="366" s="1"/>
  <c r="N207" i="366"/>
  <c r="P207" i="366" s="1"/>
  <c r="N205" i="366"/>
  <c r="P205" i="366" s="1"/>
  <c r="N203" i="366"/>
  <c r="P203" i="366" s="1"/>
  <c r="N201" i="366"/>
  <c r="P201" i="366" s="1"/>
  <c r="N199" i="366"/>
  <c r="P199" i="366" s="1"/>
  <c r="N197" i="366"/>
  <c r="P197" i="366" s="1"/>
  <c r="N195" i="366"/>
  <c r="P195" i="366" s="1"/>
  <c r="N193" i="366"/>
  <c r="P193" i="366" s="1"/>
  <c r="N191" i="366"/>
  <c r="P191" i="366" s="1"/>
  <c r="N189" i="366"/>
  <c r="P189" i="366" s="1"/>
  <c r="N187" i="366"/>
  <c r="P187" i="366" s="1"/>
  <c r="N185" i="366"/>
  <c r="P185" i="366" s="1"/>
  <c r="N183" i="366"/>
  <c r="P183" i="366" s="1"/>
  <c r="N181" i="366"/>
  <c r="P181" i="366" s="1"/>
  <c r="N179" i="366"/>
  <c r="P179" i="366" s="1"/>
  <c r="N177" i="366"/>
  <c r="P177" i="366" s="1"/>
  <c r="N175" i="366"/>
  <c r="P175" i="366" s="1"/>
  <c r="N173" i="366"/>
  <c r="P173" i="366" s="1"/>
  <c r="N171" i="366"/>
  <c r="N169" i="366"/>
  <c r="N167" i="366"/>
  <c r="P167" i="366" s="1"/>
  <c r="N165" i="366"/>
  <c r="P165" i="366" s="1"/>
  <c r="N163" i="366"/>
  <c r="P163" i="366" s="1"/>
  <c r="N161" i="366"/>
  <c r="P161" i="366" s="1"/>
  <c r="N159" i="366"/>
  <c r="P159" i="366" s="1"/>
  <c r="N157" i="366"/>
  <c r="P157" i="366" s="1"/>
  <c r="N155" i="366"/>
  <c r="P155" i="366" s="1"/>
  <c r="N153" i="366"/>
  <c r="P153" i="366" s="1"/>
  <c r="N151" i="366"/>
  <c r="P151" i="366" s="1"/>
  <c r="N149" i="366"/>
  <c r="P149" i="366" s="1"/>
  <c r="N147" i="366"/>
  <c r="P147" i="366" s="1"/>
  <c r="N145" i="366"/>
  <c r="P145" i="366" s="1"/>
  <c r="N143" i="366"/>
  <c r="P143" i="366" s="1"/>
  <c r="N141" i="366"/>
  <c r="P141" i="366" s="1"/>
  <c r="N139" i="366"/>
  <c r="P139" i="366" s="1"/>
  <c r="N137" i="366"/>
  <c r="P137" i="366" s="1"/>
  <c r="N135" i="366"/>
  <c r="P135" i="366" s="1"/>
  <c r="N133" i="366"/>
  <c r="P133" i="366" s="1"/>
  <c r="N131" i="366"/>
  <c r="P131" i="366" s="1"/>
  <c r="N129" i="366"/>
  <c r="P129" i="366" s="1"/>
  <c r="N127" i="366"/>
  <c r="P127" i="366" s="1"/>
  <c r="N125" i="366"/>
  <c r="P125" i="366" s="1"/>
  <c r="N123" i="366"/>
  <c r="P123" i="366" s="1"/>
  <c r="N121" i="366"/>
  <c r="P121" i="366" s="1"/>
  <c r="N119" i="366"/>
  <c r="P119" i="366" s="1"/>
  <c r="N117" i="366"/>
  <c r="P117" i="366" s="1"/>
  <c r="N115" i="366"/>
  <c r="P115" i="366" s="1"/>
  <c r="N113" i="366"/>
  <c r="P113" i="366" s="1"/>
  <c r="N111" i="366"/>
  <c r="P111" i="366" s="1"/>
  <c r="N109" i="366"/>
  <c r="P109" i="366" s="1"/>
  <c r="N107" i="366"/>
  <c r="P107" i="366" s="1"/>
  <c r="N105" i="366"/>
  <c r="P105" i="366" s="1"/>
  <c r="N103" i="366"/>
  <c r="P103" i="366" s="1"/>
  <c r="N101" i="366"/>
  <c r="P101" i="366" s="1"/>
  <c r="N99" i="366"/>
  <c r="P99" i="366" s="1"/>
  <c r="N97" i="366"/>
  <c r="P97" i="366" s="1"/>
  <c r="N95" i="366"/>
  <c r="P95" i="366" s="1"/>
  <c r="N93" i="366"/>
  <c r="P93" i="366" s="1"/>
  <c r="N91" i="366"/>
  <c r="P91" i="366" s="1"/>
  <c r="N89" i="366"/>
  <c r="N87" i="366"/>
  <c r="P87" i="366" s="1"/>
  <c r="N85" i="366"/>
  <c r="P85" i="366" s="1"/>
  <c r="U252" i="366"/>
  <c r="U236" i="366"/>
  <c r="U220" i="366"/>
  <c r="S252" i="366"/>
  <c r="S250" i="366"/>
  <c r="U250" i="366" s="1"/>
  <c r="S248" i="366"/>
  <c r="U248" i="366" s="1"/>
  <c r="S246" i="366"/>
  <c r="U246" i="366" s="1"/>
  <c r="S244" i="366"/>
  <c r="U244" i="366" s="1"/>
  <c r="S242" i="366"/>
  <c r="U242" i="366" s="1"/>
  <c r="S240" i="366"/>
  <c r="U240" i="366" s="1"/>
  <c r="S238" i="366"/>
  <c r="U238" i="366" s="1"/>
  <c r="S236" i="366"/>
  <c r="S234" i="366"/>
  <c r="U234" i="366" s="1"/>
  <c r="S232" i="366"/>
  <c r="U232" i="366" s="1"/>
  <c r="S230" i="366"/>
  <c r="U230" i="366" s="1"/>
  <c r="S228" i="366"/>
  <c r="U228" i="366" s="1"/>
  <c r="S226" i="366"/>
  <c r="U226" i="366" s="1"/>
  <c r="S224" i="366"/>
  <c r="U224" i="366" s="1"/>
  <c r="S222" i="366"/>
  <c r="U222" i="366" s="1"/>
  <c r="S220" i="366"/>
  <c r="S218" i="366"/>
  <c r="U218" i="366" s="1"/>
  <c r="S216" i="366"/>
  <c r="U216" i="366" s="1"/>
  <c r="S214" i="366"/>
  <c r="U214" i="366" s="1"/>
  <c r="S212" i="366"/>
  <c r="U212" i="366" s="1"/>
  <c r="S210" i="366"/>
  <c r="U210" i="366" s="1"/>
  <c r="S208" i="366"/>
  <c r="U208" i="366" s="1"/>
  <c r="S206" i="366"/>
  <c r="U206" i="366" s="1"/>
  <c r="S204" i="366"/>
  <c r="U204" i="366" s="1"/>
  <c r="S202" i="366"/>
  <c r="U202" i="366" s="1"/>
  <c r="S200" i="366"/>
  <c r="U200" i="366" s="1"/>
  <c r="S198" i="366"/>
  <c r="U198" i="366" s="1"/>
  <c r="S196" i="366"/>
  <c r="U196" i="366" s="1"/>
  <c r="S194" i="366"/>
  <c r="U194" i="366" s="1"/>
  <c r="S192" i="366"/>
  <c r="U192" i="366" s="1"/>
  <c r="S190" i="366"/>
  <c r="U190" i="366" s="1"/>
  <c r="S188" i="366"/>
  <c r="U188" i="366" s="1"/>
  <c r="S186" i="366"/>
  <c r="U186" i="366" s="1"/>
  <c r="S184" i="366"/>
  <c r="U184" i="366" s="1"/>
  <c r="S182" i="366"/>
  <c r="U182" i="366" s="1"/>
  <c r="S180" i="366"/>
  <c r="U180" i="366" s="1"/>
  <c r="S178" i="366"/>
  <c r="U178" i="366" s="1"/>
  <c r="S176" i="366"/>
  <c r="U176" i="366" s="1"/>
  <c r="S174" i="366"/>
  <c r="U174" i="366" s="1"/>
  <c r="S172" i="366"/>
  <c r="U172" i="366" s="1"/>
  <c r="S170" i="366"/>
  <c r="U170" i="366" s="1"/>
  <c r="S168" i="366"/>
  <c r="U168" i="366" s="1"/>
  <c r="S166" i="366"/>
  <c r="U166" i="366" s="1"/>
  <c r="S164" i="366"/>
  <c r="U164" i="366" s="1"/>
  <c r="S162" i="366"/>
  <c r="U162" i="366" s="1"/>
  <c r="S160" i="366"/>
  <c r="U160" i="366" s="1"/>
  <c r="S158" i="366"/>
  <c r="U158" i="366" s="1"/>
  <c r="S156" i="366"/>
  <c r="U156" i="366" s="1"/>
  <c r="S154" i="366"/>
  <c r="U154" i="366" s="1"/>
  <c r="S152" i="366"/>
  <c r="U152" i="366" s="1"/>
  <c r="S150" i="366"/>
  <c r="U150" i="366" s="1"/>
  <c r="S148" i="366"/>
  <c r="U148" i="366" s="1"/>
  <c r="S146" i="366"/>
  <c r="U146" i="366" s="1"/>
  <c r="S144" i="366"/>
  <c r="U144" i="366" s="1"/>
  <c r="S142" i="366"/>
  <c r="U142" i="366" s="1"/>
  <c r="S140" i="366"/>
  <c r="U140" i="366" s="1"/>
  <c r="S138" i="366"/>
  <c r="U138" i="366" s="1"/>
  <c r="S136" i="366"/>
  <c r="U136" i="366" s="1"/>
  <c r="S134" i="366"/>
  <c r="U134" i="366" s="1"/>
  <c r="S132" i="366"/>
  <c r="U132" i="366" s="1"/>
  <c r="S130" i="366"/>
  <c r="U130" i="366" s="1"/>
  <c r="S128" i="366"/>
  <c r="U128" i="366" s="1"/>
  <c r="S126" i="366"/>
  <c r="U126" i="366" s="1"/>
  <c r="S124" i="366"/>
  <c r="U124" i="366" s="1"/>
  <c r="S122" i="366"/>
  <c r="U122" i="366" s="1"/>
  <c r="S120" i="366"/>
  <c r="U120" i="366" s="1"/>
  <c r="S118" i="366"/>
  <c r="U118" i="366" s="1"/>
  <c r="S116" i="366"/>
  <c r="U116" i="366" s="1"/>
  <c r="S114" i="366"/>
  <c r="U114" i="366" s="1"/>
  <c r="S112" i="366"/>
  <c r="U112" i="366" s="1"/>
  <c r="S110" i="366"/>
  <c r="U110" i="366" s="1"/>
  <c r="S108" i="366"/>
  <c r="U108" i="366" s="1"/>
  <c r="S106" i="366"/>
  <c r="U106" i="366" s="1"/>
  <c r="S104" i="366"/>
  <c r="U104" i="366" s="1"/>
  <c r="S102" i="366"/>
  <c r="U102" i="366" s="1"/>
  <c r="S100" i="366"/>
  <c r="S98" i="366"/>
  <c r="U98" i="366" s="1"/>
  <c r="S96" i="366"/>
  <c r="U96" i="366" s="1"/>
  <c r="S94" i="366"/>
  <c r="U94" i="366" s="1"/>
  <c r="S92" i="366"/>
  <c r="S90" i="366"/>
  <c r="S88" i="366"/>
  <c r="U88" i="366" s="1"/>
  <c r="S86" i="366"/>
  <c r="U86" i="366" s="1"/>
  <c r="N252" i="366"/>
  <c r="P252" i="366" s="1"/>
  <c r="N236" i="366"/>
  <c r="P236" i="366" s="1"/>
  <c r="N220" i="366"/>
  <c r="P220" i="366" s="1"/>
  <c r="N204" i="366"/>
  <c r="P204" i="366" s="1"/>
  <c r="N188" i="366"/>
  <c r="P188" i="366" s="1"/>
  <c r="N172" i="366"/>
  <c r="P172" i="366" s="1"/>
  <c r="N156" i="366"/>
  <c r="P156" i="366" s="1"/>
  <c r="N140" i="366"/>
  <c r="P140" i="366" s="1"/>
  <c r="N124" i="366"/>
  <c r="P124" i="366" s="1"/>
  <c r="N108" i="366"/>
  <c r="P108" i="366" s="1"/>
  <c r="N100" i="366"/>
  <c r="P100" i="366" s="1"/>
  <c r="S89" i="366"/>
  <c r="U89" i="366" s="1"/>
  <c r="S84" i="366"/>
  <c r="U84" i="366" s="1"/>
  <c r="S82" i="366"/>
  <c r="U82" i="366" s="1"/>
  <c r="S80" i="366"/>
  <c r="S78" i="366"/>
  <c r="S76" i="366"/>
  <c r="S74" i="366"/>
  <c r="U74" i="366" s="1"/>
  <c r="S72" i="366"/>
  <c r="U72" i="366" s="1"/>
  <c r="S70" i="366"/>
  <c r="S68" i="366"/>
  <c r="U68" i="366" s="1"/>
  <c r="S66" i="366"/>
  <c r="U66" i="366" s="1"/>
  <c r="S64" i="366"/>
  <c r="S62" i="366"/>
  <c r="S60" i="366"/>
  <c r="S58" i="366"/>
  <c r="U58" i="366" s="1"/>
  <c r="S56" i="366"/>
  <c r="U56" i="366" s="1"/>
  <c r="S54" i="366"/>
  <c r="S52" i="366"/>
  <c r="U52" i="366" s="1"/>
  <c r="S50" i="366"/>
  <c r="U50" i="366" s="1"/>
  <c r="S48" i="366"/>
  <c r="S46" i="366"/>
  <c r="S44" i="366"/>
  <c r="S42" i="366"/>
  <c r="U42" i="366" s="1"/>
  <c r="S40" i="366"/>
  <c r="U40" i="366" s="1"/>
  <c r="S38" i="366"/>
  <c r="S36" i="366"/>
  <c r="U36" i="366" s="1"/>
  <c r="S34" i="366"/>
  <c r="S32" i="366"/>
  <c r="U32" i="366" s="1"/>
  <c r="S30" i="366"/>
  <c r="U30" i="366" s="1"/>
  <c r="S28" i="366"/>
  <c r="U28" i="366" s="1"/>
  <c r="S26" i="366"/>
  <c r="U26" i="366" s="1"/>
  <c r="S24" i="366"/>
  <c r="U24" i="366" s="1"/>
  <c r="S22" i="366"/>
  <c r="U22" i="366" s="1"/>
  <c r="S20" i="366"/>
  <c r="U20" i="366" s="1"/>
  <c r="S18" i="366"/>
  <c r="U18" i="366" s="1"/>
  <c r="S16" i="366"/>
  <c r="U16" i="366" s="1"/>
  <c r="S14" i="366"/>
  <c r="U14" i="366" s="1"/>
  <c r="S12" i="366"/>
  <c r="U12" i="366" s="1"/>
  <c r="S10" i="366"/>
  <c r="U10" i="366" s="1"/>
  <c r="S8" i="366"/>
  <c r="U8" i="366" s="1"/>
  <c r="S6" i="366"/>
  <c r="U6" i="366" s="1"/>
  <c r="N20" i="366"/>
  <c r="P20" i="366" s="1"/>
  <c r="N16" i="366"/>
  <c r="N10" i="366"/>
  <c r="P10" i="366" s="1"/>
  <c r="N6" i="366"/>
  <c r="N178" i="366"/>
  <c r="P178" i="366" s="1"/>
  <c r="N250" i="366"/>
  <c r="P250" i="366" s="1"/>
  <c r="N234" i="366"/>
  <c r="P234" i="366" s="1"/>
  <c r="N218" i="366"/>
  <c r="P218" i="366" s="1"/>
  <c r="N202" i="366"/>
  <c r="P202" i="366" s="1"/>
  <c r="N186" i="366"/>
  <c r="P186" i="366" s="1"/>
  <c r="N170" i="366"/>
  <c r="P170" i="366" s="1"/>
  <c r="N154" i="366"/>
  <c r="P154" i="366" s="1"/>
  <c r="N138" i="366"/>
  <c r="P138" i="366" s="1"/>
  <c r="N122" i="366"/>
  <c r="P122" i="366" s="1"/>
  <c r="N106" i="366"/>
  <c r="P106" i="366" s="1"/>
  <c r="S99" i="366"/>
  <c r="U99" i="366" s="1"/>
  <c r="N94" i="366"/>
  <c r="P94" i="366" s="1"/>
  <c r="P18" i="366"/>
  <c r="P16" i="366"/>
  <c r="P6" i="366"/>
  <c r="S4" i="366"/>
  <c r="U4" i="366" s="1"/>
  <c r="I3" i="366"/>
  <c r="K2" i="1" s="1"/>
  <c r="N24" i="366"/>
  <c r="P24" i="366" s="1"/>
  <c r="N14" i="366"/>
  <c r="P14" i="366" s="1"/>
  <c r="N8" i="366"/>
  <c r="P8" i="366" s="1"/>
  <c r="N4" i="366"/>
  <c r="P4" i="366" s="1"/>
  <c r="S9" i="366"/>
  <c r="U9" i="366" s="1"/>
  <c r="I4" i="366"/>
  <c r="M2" i="1" s="1"/>
  <c r="N226" i="366"/>
  <c r="P226" i="366" s="1"/>
  <c r="N210" i="366"/>
  <c r="P210" i="366" s="1"/>
  <c r="N146" i="366"/>
  <c r="P146" i="366" s="1"/>
  <c r="N114" i="366"/>
  <c r="P114" i="366" s="1"/>
  <c r="N86" i="366"/>
  <c r="P86" i="366" s="1"/>
  <c r="N248" i="366"/>
  <c r="P248" i="366" s="1"/>
  <c r="N232" i="366"/>
  <c r="P232" i="366" s="1"/>
  <c r="N216" i="366"/>
  <c r="P216" i="366" s="1"/>
  <c r="N200" i="366"/>
  <c r="P200" i="366" s="1"/>
  <c r="N184" i="366"/>
  <c r="P184" i="366" s="1"/>
  <c r="N168" i="366"/>
  <c r="P168" i="366" s="1"/>
  <c r="N152" i="366"/>
  <c r="P152" i="366" s="1"/>
  <c r="N136" i="366"/>
  <c r="P136" i="366" s="1"/>
  <c r="N120" i="366"/>
  <c r="P120" i="366" s="1"/>
  <c r="S93" i="366"/>
  <c r="U93" i="366" s="1"/>
  <c r="N88" i="366"/>
  <c r="P88" i="366" s="1"/>
  <c r="N84" i="366"/>
  <c r="P84" i="366" s="1"/>
  <c r="N82" i="366"/>
  <c r="P82" i="366" s="1"/>
  <c r="N80" i="366"/>
  <c r="P80" i="366" s="1"/>
  <c r="N78" i="366"/>
  <c r="P78" i="366" s="1"/>
  <c r="N76" i="366"/>
  <c r="P76" i="366" s="1"/>
  <c r="N74" i="366"/>
  <c r="P74" i="366" s="1"/>
  <c r="N72" i="366"/>
  <c r="P72" i="366" s="1"/>
  <c r="N70" i="366"/>
  <c r="P70" i="366" s="1"/>
  <c r="N68" i="366"/>
  <c r="P68" i="366" s="1"/>
  <c r="N66" i="366"/>
  <c r="P66" i="366" s="1"/>
  <c r="N64" i="366"/>
  <c r="P64" i="366" s="1"/>
  <c r="N62" i="366"/>
  <c r="P62" i="366" s="1"/>
  <c r="N60" i="366"/>
  <c r="P60" i="366" s="1"/>
  <c r="N58" i="366"/>
  <c r="P58" i="366" s="1"/>
  <c r="N56" i="366"/>
  <c r="P56" i="366" s="1"/>
  <c r="N54" i="366"/>
  <c r="P54" i="366" s="1"/>
  <c r="N52" i="366"/>
  <c r="P52" i="366" s="1"/>
  <c r="N50" i="366"/>
  <c r="P50" i="366" s="1"/>
  <c r="N48" i="366"/>
  <c r="P48" i="366" s="1"/>
  <c r="N46" i="366"/>
  <c r="P46" i="366" s="1"/>
  <c r="N44" i="366"/>
  <c r="P44" i="366" s="1"/>
  <c r="N42" i="366"/>
  <c r="P42" i="366" s="1"/>
  <c r="N40" i="366"/>
  <c r="P40" i="366" s="1"/>
  <c r="N38" i="366"/>
  <c r="P38" i="366" s="1"/>
  <c r="N36" i="366"/>
  <c r="P36" i="366" s="1"/>
  <c r="N34" i="366"/>
  <c r="P34" i="366" s="1"/>
  <c r="N32" i="366"/>
  <c r="P32" i="366" s="1"/>
  <c r="N30" i="366"/>
  <c r="P30" i="366" s="1"/>
  <c r="N28" i="366"/>
  <c r="P28" i="366" s="1"/>
  <c r="N26" i="366"/>
  <c r="P26" i="366" s="1"/>
  <c r="N22" i="366"/>
  <c r="P22" i="366" s="1"/>
  <c r="N18" i="366"/>
  <c r="N12" i="366"/>
  <c r="P12" i="366" s="1"/>
  <c r="N194" i="366"/>
  <c r="P194" i="366" s="1"/>
  <c r="N246" i="366"/>
  <c r="P246" i="366" s="1"/>
  <c r="N230" i="366"/>
  <c r="P230" i="366" s="1"/>
  <c r="N214" i="366"/>
  <c r="P214" i="366" s="1"/>
  <c r="N198" i="366"/>
  <c r="P198" i="366" s="1"/>
  <c r="N182" i="366"/>
  <c r="P182" i="366" s="1"/>
  <c r="N166" i="366"/>
  <c r="P166" i="366" s="1"/>
  <c r="N150" i="366"/>
  <c r="P150" i="366" s="1"/>
  <c r="N134" i="366"/>
  <c r="P134" i="366" s="1"/>
  <c r="N118" i="366"/>
  <c r="P118" i="366" s="1"/>
  <c r="N104" i="366"/>
  <c r="P104" i="366" s="1"/>
  <c r="N98" i="366"/>
  <c r="P98" i="366" s="1"/>
  <c r="U92" i="366"/>
  <c r="S87" i="366"/>
  <c r="U87" i="366" s="1"/>
  <c r="U73" i="366"/>
  <c r="U59" i="366"/>
  <c r="U57" i="366"/>
  <c r="S7" i="366"/>
  <c r="U7" i="366" s="1"/>
  <c r="N242" i="366"/>
  <c r="P242" i="366" s="1"/>
  <c r="N130" i="366"/>
  <c r="P130" i="366" s="1"/>
  <c r="N102" i="366"/>
  <c r="P102" i="366" s="1"/>
  <c r="S91" i="366"/>
  <c r="U91" i="366" s="1"/>
  <c r="U54" i="366"/>
  <c r="N244" i="366"/>
  <c r="P244" i="366" s="1"/>
  <c r="N228" i="366"/>
  <c r="P228" i="366" s="1"/>
  <c r="N212" i="366"/>
  <c r="P212" i="366" s="1"/>
  <c r="N196" i="366"/>
  <c r="P196" i="366" s="1"/>
  <c r="N180" i="366"/>
  <c r="P180" i="366" s="1"/>
  <c r="N164" i="366"/>
  <c r="P164" i="366" s="1"/>
  <c r="N148" i="366"/>
  <c r="P148" i="366" s="1"/>
  <c r="N132" i="366"/>
  <c r="P132" i="366" s="1"/>
  <c r="N116" i="366"/>
  <c r="P116" i="366" s="1"/>
  <c r="S97" i="366"/>
  <c r="U97" i="366" s="1"/>
  <c r="N92" i="366"/>
  <c r="P92" i="366" s="1"/>
  <c r="S83" i="366"/>
  <c r="U83" i="366" s="1"/>
  <c r="S81" i="366"/>
  <c r="U81" i="366" s="1"/>
  <c r="S79" i="366"/>
  <c r="U79" i="366" s="1"/>
  <c r="S77" i="366"/>
  <c r="U77" i="366" s="1"/>
  <c r="S75" i="366"/>
  <c r="U75" i="366" s="1"/>
  <c r="S73" i="366"/>
  <c r="S71" i="366"/>
  <c r="U71" i="366" s="1"/>
  <c r="S69" i="366"/>
  <c r="U69" i="366" s="1"/>
  <c r="S67" i="366"/>
  <c r="U67" i="366" s="1"/>
  <c r="S65" i="366"/>
  <c r="U65" i="366" s="1"/>
  <c r="S63" i="366"/>
  <c r="U63" i="366" s="1"/>
  <c r="S61" i="366"/>
  <c r="U61" i="366" s="1"/>
  <c r="S59" i="366"/>
  <c r="S57" i="366"/>
  <c r="S55" i="366"/>
  <c r="U55" i="366" s="1"/>
  <c r="S53" i="366"/>
  <c r="U53" i="366" s="1"/>
  <c r="S51" i="366"/>
  <c r="U51" i="366" s="1"/>
  <c r="S49" i="366"/>
  <c r="U49" i="366" s="1"/>
  <c r="S47" i="366"/>
  <c r="U47" i="366" s="1"/>
  <c r="S45" i="366"/>
  <c r="U45" i="366" s="1"/>
  <c r="S43" i="366"/>
  <c r="U43" i="366" s="1"/>
  <c r="S41" i="366"/>
  <c r="U41" i="366" s="1"/>
  <c r="S39" i="366"/>
  <c r="U39" i="366" s="1"/>
  <c r="S37" i="366"/>
  <c r="U37" i="366" s="1"/>
  <c r="S35" i="366"/>
  <c r="U35" i="366" s="1"/>
  <c r="S33" i="366"/>
  <c r="U33" i="366" s="1"/>
  <c r="S31" i="366"/>
  <c r="U31" i="366" s="1"/>
  <c r="S29" i="366"/>
  <c r="U29" i="366" s="1"/>
  <c r="S27" i="366"/>
  <c r="U27" i="366" s="1"/>
  <c r="S25" i="366"/>
  <c r="U25" i="366" s="1"/>
  <c r="S23" i="366"/>
  <c r="U23" i="366" s="1"/>
  <c r="S21" i="366"/>
  <c r="U21" i="366" s="1"/>
  <c r="S19" i="366"/>
  <c r="U19" i="366" s="1"/>
  <c r="S17" i="366"/>
  <c r="U17" i="366" s="1"/>
  <c r="S15" i="366"/>
  <c r="U15" i="366" s="1"/>
  <c r="S13" i="366"/>
  <c r="U13" i="366" s="1"/>
  <c r="S11" i="366"/>
  <c r="U11" i="366" s="1"/>
  <c r="S5" i="366"/>
  <c r="U5" i="366" s="1"/>
  <c r="N162" i="366"/>
  <c r="P162" i="366" s="1"/>
  <c r="N240" i="366"/>
  <c r="P240" i="366" s="1"/>
  <c r="N224" i="366"/>
  <c r="P224" i="366" s="1"/>
  <c r="N208" i="366"/>
  <c r="P208" i="366" s="1"/>
  <c r="N192" i="366"/>
  <c r="P192" i="366" s="1"/>
  <c r="N176" i="366"/>
  <c r="P176" i="366" s="1"/>
  <c r="N160" i="366"/>
  <c r="P160" i="366" s="1"/>
  <c r="N144" i="366"/>
  <c r="P144" i="366" s="1"/>
  <c r="N128" i="366"/>
  <c r="P128" i="366" s="1"/>
  <c r="N112" i="366"/>
  <c r="P112" i="366" s="1"/>
  <c r="S101" i="366"/>
  <c r="U101" i="366" s="1"/>
  <c r="N96" i="366"/>
  <c r="P96" i="366" s="1"/>
  <c r="U90" i="366"/>
  <c r="S85" i="366"/>
  <c r="U85" i="366" s="1"/>
  <c r="N83" i="366"/>
  <c r="P83" i="366" s="1"/>
  <c r="N81" i="366"/>
  <c r="P81" i="366" s="1"/>
  <c r="N79" i="366"/>
  <c r="P79" i="366" s="1"/>
  <c r="N77" i="366"/>
  <c r="P77" i="366" s="1"/>
  <c r="N75" i="366"/>
  <c r="P75" i="366" s="1"/>
  <c r="N73" i="366"/>
  <c r="P73" i="366" s="1"/>
  <c r="N71" i="366"/>
  <c r="P71" i="366" s="1"/>
  <c r="N69" i="366"/>
  <c r="P69" i="366" s="1"/>
  <c r="N67" i="366"/>
  <c r="P67" i="366" s="1"/>
  <c r="N65" i="366"/>
  <c r="P65" i="366" s="1"/>
  <c r="N63" i="366"/>
  <c r="P63" i="366" s="1"/>
  <c r="N61" i="366"/>
  <c r="P61" i="366" s="1"/>
  <c r="N59" i="366"/>
  <c r="P59" i="366" s="1"/>
  <c r="N57" i="366"/>
  <c r="P57" i="366" s="1"/>
  <c r="N55" i="366"/>
  <c r="P55" i="366" s="1"/>
  <c r="N53" i="366"/>
  <c r="P53" i="366" s="1"/>
  <c r="N51" i="366"/>
  <c r="P51" i="366" s="1"/>
  <c r="N49" i="366"/>
  <c r="P49" i="366" s="1"/>
  <c r="N47" i="366"/>
  <c r="P47" i="366" s="1"/>
  <c r="N45" i="366"/>
  <c r="P45" i="366" s="1"/>
  <c r="N43" i="366"/>
  <c r="P43" i="366" s="1"/>
  <c r="N41" i="366"/>
  <c r="P41" i="366" s="1"/>
  <c r="N39" i="366"/>
  <c r="P39" i="366" s="1"/>
  <c r="N37" i="366"/>
  <c r="P37" i="366" s="1"/>
  <c r="N35" i="366"/>
  <c r="P35" i="366" s="1"/>
  <c r="N33" i="366"/>
  <c r="P33" i="366" s="1"/>
  <c r="N31" i="366"/>
  <c r="P31" i="366" s="1"/>
  <c r="N29" i="366"/>
  <c r="P29" i="366" s="1"/>
  <c r="N27" i="366"/>
  <c r="P27" i="366" s="1"/>
  <c r="N25" i="366"/>
  <c r="P25" i="366" s="1"/>
  <c r="N23" i="366"/>
  <c r="P23" i="366" s="1"/>
  <c r="N21" i="366"/>
  <c r="P21" i="366" s="1"/>
  <c r="N19" i="366"/>
  <c r="P19" i="366" s="1"/>
  <c r="N17" i="366"/>
  <c r="P17" i="366" s="1"/>
  <c r="N15" i="366"/>
  <c r="P15" i="366" s="1"/>
  <c r="N13" i="366"/>
  <c r="P13" i="366" s="1"/>
  <c r="N11" i="366"/>
  <c r="P11" i="366" s="1"/>
  <c r="N9" i="366"/>
  <c r="P9" i="366" s="1"/>
  <c r="N7" i="366"/>
  <c r="P7" i="366" s="1"/>
  <c r="N5" i="366"/>
  <c r="P5" i="366" s="1"/>
  <c r="N238" i="366"/>
  <c r="P238" i="366" s="1"/>
  <c r="N222" i="366"/>
  <c r="P222" i="366" s="1"/>
  <c r="N206" i="366"/>
  <c r="P206" i="366" s="1"/>
  <c r="N190" i="366"/>
  <c r="P190" i="366" s="1"/>
  <c r="N174" i="366"/>
  <c r="P174" i="366" s="1"/>
  <c r="N158" i="366"/>
  <c r="P158" i="366" s="1"/>
  <c r="N142" i="366"/>
  <c r="P142" i="366" s="1"/>
  <c r="N126" i="366"/>
  <c r="P126" i="366" s="1"/>
  <c r="N110" i="366"/>
  <c r="P110" i="366" s="1"/>
  <c r="U100" i="366"/>
  <c r="S95" i="366"/>
  <c r="U95" i="366" s="1"/>
  <c r="N90" i="366"/>
  <c r="P90" i="366" s="1"/>
  <c r="U80" i="366"/>
  <c r="U78" i="366"/>
  <c r="U76" i="366"/>
  <c r="U70" i="366"/>
  <c r="U64" i="366"/>
  <c r="U62" i="366"/>
  <c r="U60" i="366"/>
  <c r="U48" i="366"/>
  <c r="U46" i="366"/>
  <c r="U44" i="366"/>
  <c r="U34" i="366"/>
  <c r="I5" i="366"/>
  <c r="N2" i="1" s="1"/>
  <c r="U38" i="366"/>
  <c r="W16" i="1"/>
  <c r="X16" i="1"/>
  <c r="P3" i="372" l="1"/>
  <c r="S8" i="1" s="1"/>
  <c r="S2" i="372"/>
  <c r="S3" i="372" s="1"/>
  <c r="U4" i="372"/>
  <c r="U3" i="372" s="1"/>
  <c r="T8" i="1" s="1"/>
  <c r="N2" i="372"/>
  <c r="N3" i="372" s="1"/>
  <c r="U3" i="371"/>
  <c r="T7" i="1" s="1"/>
  <c r="P3" i="371"/>
  <c r="S7" i="1" s="1"/>
  <c r="N2" i="371"/>
  <c r="N3" i="371" s="1"/>
  <c r="S2" i="371"/>
  <c r="S3" i="371" s="1"/>
  <c r="N2" i="370"/>
  <c r="N3" i="370" s="1"/>
  <c r="P4" i="370"/>
  <c r="P3" i="370" s="1"/>
  <c r="S6" i="1" s="1"/>
  <c r="S2" i="370"/>
  <c r="S3" i="370" s="1"/>
  <c r="U3" i="370"/>
  <c r="T6" i="1" s="1"/>
  <c r="N2" i="369"/>
  <c r="N3" i="369" s="1"/>
  <c r="S2" i="369"/>
  <c r="S3" i="369" s="1"/>
  <c r="P3" i="369"/>
  <c r="S5" i="1" s="1"/>
  <c r="U4" i="369"/>
  <c r="U3" i="369" s="1"/>
  <c r="T5" i="1" s="1"/>
  <c r="U3" i="368"/>
  <c r="T4" i="1" s="1"/>
  <c r="N2" i="368"/>
  <c r="N3" i="368" s="1"/>
  <c r="P4" i="368"/>
  <c r="P3" i="368" s="1"/>
  <c r="S4" i="1" s="1"/>
  <c r="S2" i="368"/>
  <c r="S3" i="368" s="1"/>
  <c r="P3" i="367"/>
  <c r="S3" i="1" s="1"/>
  <c r="U3" i="367"/>
  <c r="T3" i="1" s="1"/>
  <c r="S2" i="367"/>
  <c r="S3" i="367" s="1"/>
  <c r="N2" i="367"/>
  <c r="N3" i="367" s="1"/>
  <c r="U3" i="366"/>
  <c r="T2" i="1" s="1"/>
  <c r="S2" i="366"/>
  <c r="S3" i="366" s="1"/>
  <c r="N2" i="366"/>
  <c r="N3" i="366" s="1"/>
  <c r="P3" i="366"/>
  <c r="S2" i="1" s="1"/>
  <c r="W15" i="1"/>
  <c r="W11" i="1"/>
  <c r="W7" i="1"/>
  <c r="W3" i="1"/>
  <c r="X15" i="1"/>
  <c r="X12" i="1"/>
  <c r="X8" i="1"/>
  <c r="X4" i="1"/>
  <c r="W14" i="1"/>
  <c r="W10" i="1"/>
  <c r="W6" i="1"/>
  <c r="W2" i="1"/>
  <c r="X9" i="1"/>
  <c r="X5" i="1"/>
  <c r="W13" i="1"/>
  <c r="W9" i="1"/>
  <c r="W5" i="1"/>
  <c r="X13" i="1"/>
  <c r="X14" i="1"/>
  <c r="X10" i="1"/>
  <c r="X6" i="1"/>
  <c r="X2" i="1"/>
  <c r="W12" i="1"/>
  <c r="W8" i="1"/>
  <c r="W4" i="1"/>
  <c r="X11" i="1"/>
  <c r="X7" i="1"/>
  <c r="X3" i="1"/>
  <c r="A1" i="16"/>
  <c r="I2" i="16" s="1"/>
  <c r="N4" i="16" l="1"/>
  <c r="P4" i="16" s="1"/>
  <c r="S4" i="16"/>
  <c r="S90" i="16"/>
  <c r="U90" i="16" s="1"/>
  <c r="S204" i="16"/>
  <c r="U204" i="16" s="1"/>
  <c r="N233" i="16"/>
  <c r="S231" i="16"/>
  <c r="U231" i="16" s="1"/>
  <c r="S47" i="16"/>
  <c r="U47" i="16" s="1"/>
  <c r="S245" i="16"/>
  <c r="U245" i="16" s="1"/>
  <c r="S58" i="16"/>
  <c r="N73" i="16"/>
  <c r="P73" i="16" s="1"/>
  <c r="N79" i="16"/>
  <c r="N14" i="16"/>
  <c r="P14" i="16" s="1"/>
  <c r="N252" i="16"/>
  <c r="S177" i="16"/>
  <c r="U177" i="16" s="1"/>
  <c r="S101" i="16"/>
  <c r="U101" i="16" s="1"/>
  <c r="S111" i="16"/>
  <c r="U111" i="16" s="1"/>
  <c r="S192" i="16"/>
  <c r="N217" i="16"/>
  <c r="N70" i="16"/>
  <c r="S64" i="16"/>
  <c r="U64" i="16" s="1"/>
  <c r="S80" i="16"/>
  <c r="N148" i="16"/>
  <c r="P148" i="16" s="1"/>
  <c r="N5" i="16"/>
  <c r="P5" i="16" s="1"/>
  <c r="S34" i="16"/>
  <c r="U34" i="16" s="1"/>
  <c r="S104" i="16"/>
  <c r="N40" i="16"/>
  <c r="P40" i="16" s="1"/>
  <c r="S151" i="16"/>
  <c r="U151" i="16" s="1"/>
  <c r="N200" i="16"/>
  <c r="P200" i="16" s="1"/>
  <c r="N75" i="16"/>
  <c r="N153" i="16"/>
  <c r="P153" i="16" s="1"/>
  <c r="N83" i="16"/>
  <c r="S110" i="16"/>
  <c r="U110" i="16" s="1"/>
  <c r="S41" i="16"/>
  <c r="N140" i="16"/>
  <c r="P140" i="16" s="1"/>
  <c r="N34" i="16"/>
  <c r="P34" i="16" s="1"/>
  <c r="N64" i="16"/>
  <c r="P64" i="16" s="1"/>
  <c r="N122" i="16"/>
  <c r="N86" i="16"/>
  <c r="P86" i="16" s="1"/>
  <c r="N60" i="16"/>
  <c r="P60" i="16" s="1"/>
  <c r="N120" i="16"/>
  <c r="P120" i="16" s="1"/>
  <c r="N26" i="16"/>
  <c r="P26" i="16" s="1"/>
  <c r="N43" i="16"/>
  <c r="P43" i="16" s="1"/>
  <c r="N59" i="16"/>
  <c r="P59" i="16" s="1"/>
  <c r="N98" i="16"/>
  <c r="P98" i="16" s="1"/>
  <c r="N166" i="16"/>
  <c r="P166" i="16" s="1"/>
  <c r="N126" i="16"/>
  <c r="P126" i="16" s="1"/>
  <c r="S223" i="16"/>
  <c r="U223" i="16" s="1"/>
  <c r="N212" i="16"/>
  <c r="P212" i="16" s="1"/>
  <c r="S155" i="16"/>
  <c r="U155" i="16" s="1"/>
  <c r="N58" i="16"/>
  <c r="P58" i="16" s="1"/>
  <c r="S50" i="16"/>
  <c r="U50" i="16" s="1"/>
  <c r="S26" i="16"/>
  <c r="U26" i="16" s="1"/>
  <c r="N69" i="16"/>
  <c r="P69" i="16" s="1"/>
  <c r="N54" i="16"/>
  <c r="P54" i="16" s="1"/>
  <c r="S143" i="16"/>
  <c r="U143" i="16" s="1"/>
  <c r="S144" i="16"/>
  <c r="U144" i="16" s="1"/>
  <c r="N124" i="16"/>
  <c r="P124" i="16" s="1"/>
  <c r="N38" i="16"/>
  <c r="P38" i="16" s="1"/>
  <c r="N42" i="16"/>
  <c r="P42" i="16" s="1"/>
  <c r="N235" i="16"/>
  <c r="P235" i="16" s="1"/>
  <c r="S72" i="16"/>
  <c r="U72" i="16" s="1"/>
  <c r="N37" i="16"/>
  <c r="P37" i="16" s="1"/>
  <c r="S65" i="16"/>
  <c r="U65" i="16" s="1"/>
  <c r="S61" i="16"/>
  <c r="U61" i="16" s="1"/>
  <c r="S170" i="16"/>
  <c r="U170" i="16" s="1"/>
  <c r="N65" i="16"/>
  <c r="P65" i="16" s="1"/>
  <c r="N52" i="16"/>
  <c r="P52" i="16" s="1"/>
  <c r="S67" i="16"/>
  <c r="U67" i="16" s="1"/>
  <c r="S180" i="16"/>
  <c r="U180" i="16" s="1"/>
  <c r="N244" i="16"/>
  <c r="P244" i="16" s="1"/>
  <c r="S112" i="16"/>
  <c r="U112" i="16" s="1"/>
  <c r="N22" i="16"/>
  <c r="P22" i="16" s="1"/>
  <c r="S176" i="16"/>
  <c r="U176" i="16" s="1"/>
  <c r="S146" i="16"/>
  <c r="U146" i="16" s="1"/>
  <c r="N12" i="16"/>
  <c r="S201" i="16"/>
  <c r="U201" i="16" s="1"/>
  <c r="N181" i="16"/>
  <c r="S149" i="16"/>
  <c r="U149" i="16" s="1"/>
  <c r="S73" i="16"/>
  <c r="U73" i="16" s="1"/>
  <c r="S138" i="16"/>
  <c r="U138" i="16" s="1"/>
  <c r="S152" i="16"/>
  <c r="N155" i="16"/>
  <c r="P155" i="16" s="1"/>
  <c r="N31" i="16"/>
  <c r="P31" i="16" s="1"/>
  <c r="N15" i="16"/>
  <c r="P15" i="16" s="1"/>
  <c r="N49" i="16"/>
  <c r="N92" i="16"/>
  <c r="P92" i="16" s="1"/>
  <c r="N63" i="16"/>
  <c r="P63" i="16" s="1"/>
  <c r="N203" i="16"/>
  <c r="P203" i="16" s="1"/>
  <c r="S145" i="16"/>
  <c r="U145" i="16" s="1"/>
  <c r="N128" i="16"/>
  <c r="P128" i="16" s="1"/>
  <c r="S200" i="16"/>
  <c r="U200" i="16" s="1"/>
  <c r="S160" i="16"/>
  <c r="U160" i="16" s="1"/>
  <c r="S185" i="16"/>
  <c r="U185" i="16" s="1"/>
  <c r="S203" i="16"/>
  <c r="U203" i="16" s="1"/>
  <c r="N158" i="16"/>
  <c r="P158" i="16" s="1"/>
  <c r="S193" i="16"/>
  <c r="U193" i="16" s="1"/>
  <c r="S179" i="16"/>
  <c r="U179" i="16" s="1"/>
  <c r="N246" i="16"/>
  <c r="P246" i="16" s="1"/>
  <c r="S128" i="16"/>
  <c r="U128" i="16" s="1"/>
  <c r="N135" i="16"/>
  <c r="P135" i="16" s="1"/>
  <c r="N206" i="16"/>
  <c r="P206" i="16" s="1"/>
  <c r="S7" i="16"/>
  <c r="U7" i="16" s="1"/>
  <c r="N138" i="16"/>
  <c r="P138" i="16" s="1"/>
  <c r="N186" i="16"/>
  <c r="P186" i="16" s="1"/>
  <c r="N179" i="16"/>
  <c r="P179" i="16" s="1"/>
  <c r="S118" i="16"/>
  <c r="U118" i="16" s="1"/>
  <c r="N145" i="16"/>
  <c r="P145" i="16" s="1"/>
  <c r="S42" i="16"/>
  <c r="U42" i="16" s="1"/>
  <c r="S79" i="16"/>
  <c r="U79" i="16" s="1"/>
  <c r="N36" i="16"/>
  <c r="P36" i="16" s="1"/>
  <c r="S150" i="16"/>
  <c r="U150" i="16" s="1"/>
  <c r="S218" i="16"/>
  <c r="U218" i="16" s="1"/>
  <c r="S57" i="16"/>
  <c r="U57" i="16" s="1"/>
  <c r="S216" i="16"/>
  <c r="U216" i="16" s="1"/>
  <c r="N152" i="16"/>
  <c r="P152" i="16" s="1"/>
  <c r="S221" i="16"/>
  <c r="U221" i="16" s="1"/>
  <c r="S74" i="16"/>
  <c r="U74" i="16" s="1"/>
  <c r="S116" i="16"/>
  <c r="U116" i="16" s="1"/>
  <c r="N234" i="16"/>
  <c r="P234" i="16" s="1"/>
  <c r="S97" i="16"/>
  <c r="U97" i="16" s="1"/>
  <c r="N56" i="16"/>
  <c r="P56" i="16" s="1"/>
  <c r="N41" i="16"/>
  <c r="P41" i="16" s="1"/>
  <c r="N150" i="16"/>
  <c r="P150" i="16" s="1"/>
  <c r="N109" i="16"/>
  <c r="P109" i="16" s="1"/>
  <c r="S253" i="16"/>
  <c r="U253" i="16" s="1"/>
  <c r="S169" i="16"/>
  <c r="U169" i="16" s="1"/>
  <c r="S194" i="16"/>
  <c r="U194" i="16" s="1"/>
  <c r="S120" i="16"/>
  <c r="U120" i="16" s="1"/>
  <c r="S172" i="16"/>
  <c r="U172" i="16" s="1"/>
  <c r="N48" i="16"/>
  <c r="P48" i="16" s="1"/>
  <c r="N47" i="16"/>
  <c r="P47" i="16" s="1"/>
  <c r="N143" i="16"/>
  <c r="P143" i="16" s="1"/>
  <c r="S249" i="16"/>
  <c r="U249" i="16" s="1"/>
  <c r="N113" i="16"/>
  <c r="P113" i="16" s="1"/>
  <c r="S244" i="16"/>
  <c r="U244" i="16" s="1"/>
  <c r="N132" i="16"/>
  <c r="P132" i="16" s="1"/>
  <c r="S133" i="16"/>
  <c r="U133" i="16" s="1"/>
  <c r="N226" i="16"/>
  <c r="P226" i="16" s="1"/>
  <c r="S108" i="16"/>
  <c r="U108" i="16" s="1"/>
  <c r="N46" i="16"/>
  <c r="P46" i="16" s="1"/>
  <c r="S163" i="16"/>
  <c r="U163" i="16" s="1"/>
  <c r="N160" i="16"/>
  <c r="P160" i="16" s="1"/>
  <c r="N72" i="16"/>
  <c r="P72" i="16" s="1"/>
  <c r="N243" i="16"/>
  <c r="P243" i="16" s="1"/>
  <c r="S196" i="16"/>
  <c r="U196" i="16" s="1"/>
  <c r="N84" i="16"/>
  <c r="P84" i="16" s="1"/>
  <c r="S137" i="16"/>
  <c r="U137" i="16" s="1"/>
  <c r="N32" i="16"/>
  <c r="P32" i="16" s="1"/>
  <c r="N20" i="16"/>
  <c r="P20" i="16" s="1"/>
  <c r="N103" i="16"/>
  <c r="P103" i="16" s="1"/>
  <c r="S181" i="16"/>
  <c r="U181" i="16" s="1"/>
  <c r="S105" i="16"/>
  <c r="U105" i="16" s="1"/>
  <c r="N24" i="16"/>
  <c r="P24" i="16" s="1"/>
  <c r="N211" i="16"/>
  <c r="P211" i="16" s="1"/>
  <c r="N111" i="16"/>
  <c r="P111" i="16" s="1"/>
  <c r="S83" i="16"/>
  <c r="U83" i="16" s="1"/>
  <c r="S102" i="16"/>
  <c r="U102" i="16" s="1"/>
  <c r="S235" i="16"/>
  <c r="U235" i="16" s="1"/>
  <c r="N67" i="16"/>
  <c r="P67" i="16" s="1"/>
  <c r="S227" i="16"/>
  <c r="U227" i="16" s="1"/>
  <c r="N229" i="16"/>
  <c r="P229" i="16" s="1"/>
  <c r="N88" i="16"/>
  <c r="P88" i="16" s="1"/>
  <c r="S178" i="16"/>
  <c r="U178" i="16" s="1"/>
  <c r="S208" i="16"/>
  <c r="U208" i="16" s="1"/>
  <c r="S206" i="16"/>
  <c r="U206" i="16" s="1"/>
  <c r="S36" i="16"/>
  <c r="U36" i="16" s="1"/>
  <c r="N121" i="16"/>
  <c r="P121" i="16" s="1"/>
  <c r="S117" i="16"/>
  <c r="U117" i="16" s="1"/>
  <c r="S132" i="16"/>
  <c r="U132" i="16" s="1"/>
  <c r="N187" i="16"/>
  <c r="P187" i="16" s="1"/>
  <c r="S250" i="16"/>
  <c r="U250" i="16" s="1"/>
  <c r="N205" i="16"/>
  <c r="P205" i="16" s="1"/>
  <c r="N162" i="16"/>
  <c r="P162" i="16" s="1"/>
  <c r="N165" i="16"/>
  <c r="P165" i="16" s="1"/>
  <c r="S229" i="16"/>
  <c r="U229" i="16" s="1"/>
  <c r="S113" i="16"/>
  <c r="U113" i="16" s="1"/>
  <c r="S168" i="16"/>
  <c r="U168" i="16" s="1"/>
  <c r="N227" i="16"/>
  <c r="P227" i="16" s="1"/>
  <c r="S209" i="16"/>
  <c r="U209" i="16" s="1"/>
  <c r="N207" i="16"/>
  <c r="P207" i="16" s="1"/>
  <c r="N62" i="16"/>
  <c r="P62" i="16" s="1"/>
  <c r="S139" i="16"/>
  <c r="U139" i="16" s="1"/>
  <c r="S246" i="16"/>
  <c r="U246" i="16" s="1"/>
  <c r="N228" i="16"/>
  <c r="P228" i="16" s="1"/>
  <c r="S233" i="16"/>
  <c r="U233" i="16" s="1"/>
  <c r="S157" i="16"/>
  <c r="U157" i="16" s="1"/>
  <c r="N222" i="16"/>
  <c r="P222" i="16" s="1"/>
  <c r="N172" i="16"/>
  <c r="P172" i="16" s="1"/>
  <c r="N119" i="16"/>
  <c r="P119" i="16" s="1"/>
  <c r="N168" i="16"/>
  <c r="P168" i="16" s="1"/>
  <c r="S30" i="16"/>
  <c r="U30" i="16" s="1"/>
  <c r="S54" i="16"/>
  <c r="U54" i="16" s="1"/>
  <c r="N147" i="16"/>
  <c r="P147" i="16" s="1"/>
  <c r="N33" i="16"/>
  <c r="P33" i="16" s="1"/>
  <c r="S77" i="16"/>
  <c r="U77" i="16" s="1"/>
  <c r="N45" i="16"/>
  <c r="P45" i="16" s="1"/>
  <c r="N159" i="16"/>
  <c r="P159" i="16" s="1"/>
  <c r="N146" i="16"/>
  <c r="P146" i="16" s="1"/>
  <c r="N25" i="16"/>
  <c r="P25" i="16" s="1"/>
  <c r="S202" i="16"/>
  <c r="U202" i="16" s="1"/>
  <c r="S100" i="16"/>
  <c r="U100" i="16" s="1"/>
  <c r="S35" i="16"/>
  <c r="U35" i="16" s="1"/>
  <c r="N191" i="16"/>
  <c r="N7" i="16"/>
  <c r="P7" i="16" s="1"/>
  <c r="N154" i="16"/>
  <c r="P154" i="16" s="1"/>
  <c r="S161" i="16"/>
  <c r="U161" i="16" s="1"/>
  <c r="N13" i="16"/>
  <c r="P13" i="16" s="1"/>
  <c r="S78" i="16"/>
  <c r="U78" i="16" s="1"/>
  <c r="N101" i="16"/>
  <c r="P101" i="16" s="1"/>
  <c r="S243" i="16"/>
  <c r="U243" i="16" s="1"/>
  <c r="N117" i="16"/>
  <c r="P117" i="16" s="1"/>
  <c r="S28" i="16"/>
  <c r="U28" i="16" s="1"/>
  <c r="N108" i="16"/>
  <c r="P108" i="16" s="1"/>
  <c r="N17" i="16"/>
  <c r="P17" i="16" s="1"/>
  <c r="S19" i="16"/>
  <c r="U19" i="16" s="1"/>
  <c r="N232" i="16"/>
  <c r="P232" i="16" s="1"/>
  <c r="N77" i="16"/>
  <c r="P77" i="16" s="1"/>
  <c r="N106" i="16"/>
  <c r="P106" i="16" s="1"/>
  <c r="N39" i="16"/>
  <c r="P39" i="16" s="1"/>
  <c r="S94" i="16"/>
  <c r="U94" i="16" s="1"/>
  <c r="N161" i="16"/>
  <c r="P161" i="16" s="1"/>
  <c r="N16" i="16"/>
  <c r="P16" i="16" s="1"/>
  <c r="N89" i="16"/>
  <c r="P89" i="16" s="1"/>
  <c r="S15" i="16"/>
  <c r="U15" i="16" s="1"/>
  <c r="S147" i="16"/>
  <c r="U147" i="16" s="1"/>
  <c r="N253" i="16"/>
  <c r="P253" i="16" s="1"/>
  <c r="N18" i="16"/>
  <c r="P18" i="16" s="1"/>
  <c r="N112" i="16"/>
  <c r="P112" i="16" s="1"/>
  <c r="S43" i="16"/>
  <c r="U43" i="16" s="1"/>
  <c r="N144" i="16"/>
  <c r="P144" i="16" s="1"/>
  <c r="N210" i="16"/>
  <c r="P210" i="16" s="1"/>
  <c r="S60" i="16"/>
  <c r="U60" i="16" s="1"/>
  <c r="N115" i="16"/>
  <c r="P115" i="16" s="1"/>
  <c r="N151" i="16"/>
  <c r="P151" i="16" s="1"/>
  <c r="S234" i="16"/>
  <c r="U234" i="16" s="1"/>
  <c r="S89" i="16"/>
  <c r="U89" i="16" s="1"/>
  <c r="S207" i="16"/>
  <c r="U207" i="16" s="1"/>
  <c r="S140" i="16"/>
  <c r="U140" i="16" s="1"/>
  <c r="P191" i="16"/>
  <c r="S199" i="16"/>
  <c r="U199" i="16" s="1"/>
  <c r="N195" i="16"/>
  <c r="P195" i="16" s="1"/>
  <c r="N192" i="16"/>
  <c r="P192" i="16" s="1"/>
  <c r="N82" i="16"/>
  <c r="P82" i="16" s="1"/>
  <c r="N197" i="16"/>
  <c r="P197" i="16" s="1"/>
  <c r="N97" i="16"/>
  <c r="P97" i="16" s="1"/>
  <c r="S224" i="16"/>
  <c r="U224" i="16" s="1"/>
  <c r="N176" i="16"/>
  <c r="P176" i="16" s="1"/>
  <c r="N199" i="16"/>
  <c r="P199" i="16" s="1"/>
  <c r="S96" i="16"/>
  <c r="U96" i="16" s="1"/>
  <c r="S44" i="16"/>
  <c r="U44" i="16" s="1"/>
  <c r="N241" i="16"/>
  <c r="P241" i="16" s="1"/>
  <c r="S121" i="16"/>
  <c r="U121" i="16" s="1"/>
  <c r="N202" i="16"/>
  <c r="P202" i="16" s="1"/>
  <c r="N248" i="16"/>
  <c r="P248" i="16" s="1"/>
  <c r="S190" i="16"/>
  <c r="U190" i="16" s="1"/>
  <c r="S252" i="16"/>
  <c r="U252" i="16" s="1"/>
  <c r="N139" i="16"/>
  <c r="P139" i="16" s="1"/>
  <c r="S82" i="16"/>
  <c r="U82" i="16" s="1"/>
  <c r="S119" i="16"/>
  <c r="U119" i="16" s="1"/>
  <c r="N76" i="16"/>
  <c r="P76" i="16" s="1"/>
  <c r="S63" i="16"/>
  <c r="U63" i="16" s="1"/>
  <c r="N196" i="16"/>
  <c r="P196" i="16" s="1"/>
  <c r="N53" i="16"/>
  <c r="P53" i="16" s="1"/>
  <c r="N50" i="16"/>
  <c r="P50" i="16" s="1"/>
  <c r="S55" i="16"/>
  <c r="U55" i="16" s="1"/>
  <c r="S188" i="16"/>
  <c r="U188" i="16" s="1"/>
  <c r="N99" i="16"/>
  <c r="P99" i="16" s="1"/>
  <c r="N182" i="16"/>
  <c r="P182" i="16" s="1"/>
  <c r="S130" i="16"/>
  <c r="U130" i="16" s="1"/>
  <c r="N219" i="16"/>
  <c r="P219" i="16" s="1"/>
  <c r="N10" i="16"/>
  <c r="P10" i="16" s="1"/>
  <c r="N171" i="16"/>
  <c r="P171" i="16" s="1"/>
  <c r="S215" i="16"/>
  <c r="U215" i="16" s="1"/>
  <c r="N116" i="16"/>
  <c r="P116" i="16" s="1"/>
  <c r="N134" i="16"/>
  <c r="P134" i="16" s="1"/>
  <c r="N236" i="16"/>
  <c r="P236" i="16" s="1"/>
  <c r="N204" i="16"/>
  <c r="P204" i="16" s="1"/>
  <c r="N55" i="16"/>
  <c r="P55" i="16" s="1"/>
  <c r="S91" i="16"/>
  <c r="U91" i="16" s="1"/>
  <c r="S167" i="16"/>
  <c r="U167" i="16" s="1"/>
  <c r="N220" i="16"/>
  <c r="P220" i="16" s="1"/>
  <c r="N81" i="16"/>
  <c r="P81" i="16" s="1"/>
  <c r="S40" i="16"/>
  <c r="U40" i="16" s="1"/>
  <c r="S23" i="16"/>
  <c r="U23" i="16" s="1"/>
  <c r="S214" i="16"/>
  <c r="U214" i="16" s="1"/>
  <c r="S84" i="16"/>
  <c r="U84" i="16" s="1"/>
  <c r="N110" i="16"/>
  <c r="P110" i="16" s="1"/>
  <c r="S49" i="16"/>
  <c r="U49" i="16" s="1"/>
  <c r="N178" i="16"/>
  <c r="P178" i="16" s="1"/>
  <c r="N247" i="16"/>
  <c r="P247" i="16" s="1"/>
  <c r="S11" i="16"/>
  <c r="U11" i="16" s="1"/>
  <c r="S22" i="16"/>
  <c r="U22" i="16" s="1"/>
  <c r="S239" i="16"/>
  <c r="U239" i="16" s="1"/>
  <c r="N157" i="16"/>
  <c r="P157" i="16" s="1"/>
  <c r="N214" i="16"/>
  <c r="P214" i="16" s="1"/>
  <c r="N173" i="16"/>
  <c r="P173" i="16" s="1"/>
  <c r="N169" i="16"/>
  <c r="P169" i="16" s="1"/>
  <c r="N238" i="16"/>
  <c r="P238" i="16" s="1"/>
  <c r="S52" i="16"/>
  <c r="U52" i="16" s="1"/>
  <c r="S5" i="16"/>
  <c r="U5" i="16" s="1"/>
  <c r="N61" i="16"/>
  <c r="P61" i="16" s="1"/>
  <c r="S21" i="16"/>
  <c r="U21" i="16" s="1"/>
  <c r="N180" i="16"/>
  <c r="P180" i="16" s="1"/>
  <c r="N19" i="16"/>
  <c r="P19" i="16" s="1"/>
  <c r="N190" i="16"/>
  <c r="P190" i="16" s="1"/>
  <c r="N51" i="16"/>
  <c r="P51" i="16" s="1"/>
  <c r="N94" i="16"/>
  <c r="P94" i="16" s="1"/>
  <c r="P12" i="16"/>
  <c r="P181" i="16"/>
  <c r="U152" i="16"/>
  <c r="N102" i="16"/>
  <c r="P102" i="16" s="1"/>
  <c r="N74" i="16"/>
  <c r="P74" i="16" s="1"/>
  <c r="S115" i="16"/>
  <c r="U115" i="16" s="1"/>
  <c r="S70" i="16"/>
  <c r="U70" i="16" s="1"/>
  <c r="N216" i="16"/>
  <c r="P216" i="16" s="1"/>
  <c r="N225" i="16"/>
  <c r="P225" i="16" s="1"/>
  <c r="S236" i="16"/>
  <c r="U236" i="16" s="1"/>
  <c r="N149" i="16"/>
  <c r="P149" i="16" s="1"/>
  <c r="N218" i="16"/>
  <c r="P218" i="16" s="1"/>
  <c r="N9" i="16"/>
  <c r="P9" i="16" s="1"/>
  <c r="S225" i="16"/>
  <c r="U225" i="16" s="1"/>
  <c r="P49" i="16"/>
  <c r="N6" i="16"/>
  <c r="P6" i="16" s="1"/>
  <c r="S106" i="16"/>
  <c r="U106" i="16" s="1"/>
  <c r="N184" i="16"/>
  <c r="P184" i="16" s="1"/>
  <c r="S122" i="16"/>
  <c r="U122" i="16" s="1"/>
  <c r="N249" i="16"/>
  <c r="P249" i="16" s="1"/>
  <c r="S136" i="16"/>
  <c r="U136" i="16" s="1"/>
  <c r="S9" i="16"/>
  <c r="U9" i="16" s="1"/>
  <c r="N170" i="16"/>
  <c r="P170" i="16" s="1"/>
  <c r="N194" i="16"/>
  <c r="P194" i="16" s="1"/>
  <c r="N237" i="16"/>
  <c r="P237" i="16" s="1"/>
  <c r="N104" i="16"/>
  <c r="P104" i="16" s="1"/>
  <c r="S107" i="16"/>
  <c r="U107" i="16" s="1"/>
  <c r="N215" i="16"/>
  <c r="P215" i="16" s="1"/>
  <c r="N163" i="16"/>
  <c r="P163" i="16" s="1"/>
  <c r="S18" i="16"/>
  <c r="U18" i="16" s="1"/>
  <c r="S164" i="16"/>
  <c r="U164" i="16" s="1"/>
  <c r="S210" i="16"/>
  <c r="U210" i="16" s="1"/>
  <c r="N78" i="16"/>
  <c r="P78" i="16" s="1"/>
  <c r="S20" i="16"/>
  <c r="U20" i="16" s="1"/>
  <c r="S93" i="16"/>
  <c r="U93" i="16" s="1"/>
  <c r="S213" i="16"/>
  <c r="U213" i="16" s="1"/>
  <c r="S12" i="16"/>
  <c r="U12" i="16" s="1"/>
  <c r="S141" i="16"/>
  <c r="U141" i="16" s="1"/>
  <c r="N107" i="16"/>
  <c r="P107" i="16" s="1"/>
  <c r="S135" i="16"/>
  <c r="U135" i="16" s="1"/>
  <c r="S242" i="16"/>
  <c r="U242" i="16" s="1"/>
  <c r="S237" i="16"/>
  <c r="U237" i="16" s="1"/>
  <c r="S16" i="16"/>
  <c r="U16" i="16" s="1"/>
  <c r="N221" i="16"/>
  <c r="P221" i="16" s="1"/>
  <c r="N185" i="16"/>
  <c r="P185" i="16" s="1"/>
  <c r="S8" i="16"/>
  <c r="U8" i="16" s="1"/>
  <c r="N156" i="16"/>
  <c r="P156" i="16" s="1"/>
  <c r="S226" i="16"/>
  <c r="U226" i="16" s="1"/>
  <c r="N230" i="16"/>
  <c r="P230" i="16" s="1"/>
  <c r="I5" i="16"/>
  <c r="S29" i="16"/>
  <c r="U29" i="16" s="1"/>
  <c r="S230" i="16"/>
  <c r="U230" i="16" s="1"/>
  <c r="N85" i="16"/>
  <c r="P85" i="16" s="1"/>
  <c r="N250" i="16"/>
  <c r="P250" i="16" s="1"/>
  <c r="N23" i="16"/>
  <c r="P23" i="16" s="1"/>
  <c r="S198" i="16"/>
  <c r="U198" i="16" s="1"/>
  <c r="N223" i="16"/>
  <c r="P223" i="16" s="1"/>
  <c r="S191" i="16"/>
  <c r="U191" i="16" s="1"/>
  <c r="S75" i="16"/>
  <c r="U75" i="16" s="1"/>
  <c r="N174" i="16"/>
  <c r="P174" i="16" s="1"/>
  <c r="S186" i="16"/>
  <c r="U186" i="16" s="1"/>
  <c r="S56" i="16"/>
  <c r="U56" i="16" s="1"/>
  <c r="N245" i="16"/>
  <c r="P245" i="16" s="1"/>
  <c r="S217" i="16"/>
  <c r="U217" i="16" s="1"/>
  <c r="S171" i="16"/>
  <c r="U171" i="16" s="1"/>
  <c r="N123" i="16"/>
  <c r="P123" i="16" s="1"/>
  <c r="S109" i="16"/>
  <c r="U109" i="16" s="1"/>
  <c r="N239" i="16"/>
  <c r="P239" i="16" s="1"/>
  <c r="N193" i="16"/>
  <c r="P193" i="16" s="1"/>
  <c r="S212" i="16"/>
  <c r="U212" i="16" s="1"/>
  <c r="N133" i="16"/>
  <c r="P133" i="16" s="1"/>
  <c r="S24" i="16"/>
  <c r="U24" i="16" s="1"/>
  <c r="N21" i="16"/>
  <c r="P21" i="16" s="1"/>
  <c r="N95" i="16"/>
  <c r="P95" i="16" s="1"/>
  <c r="U104" i="16"/>
  <c r="U80" i="16"/>
  <c r="P70" i="16"/>
  <c r="P217" i="16"/>
  <c r="U192" i="16"/>
  <c r="S240" i="16"/>
  <c r="U240" i="16" s="1"/>
  <c r="N87" i="16"/>
  <c r="P87" i="16" s="1"/>
  <c r="S228" i="16"/>
  <c r="U228" i="16" s="1"/>
  <c r="S25" i="16"/>
  <c r="U25" i="16" s="1"/>
  <c r="S175" i="16"/>
  <c r="U175" i="16" s="1"/>
  <c r="N240" i="16"/>
  <c r="P240" i="16" s="1"/>
  <c r="S127" i="16"/>
  <c r="U127" i="16" s="1"/>
  <c r="S248" i="16"/>
  <c r="U248" i="16" s="1"/>
  <c r="N129" i="16"/>
  <c r="P129" i="16" s="1"/>
  <c r="S126" i="16"/>
  <c r="U126" i="16" s="1"/>
  <c r="N91" i="16"/>
  <c r="P91" i="16" s="1"/>
  <c r="S69" i="16"/>
  <c r="U69" i="16" s="1"/>
  <c r="S86" i="16"/>
  <c r="U86" i="16" s="1"/>
  <c r="S6" i="16"/>
  <c r="U6" i="16" s="1"/>
  <c r="N80" i="16"/>
  <c r="P80" i="16" s="1"/>
  <c r="S134" i="16"/>
  <c r="U134" i="16" s="1"/>
  <c r="S241" i="16"/>
  <c r="U241" i="16" s="1"/>
  <c r="S232" i="16"/>
  <c r="U232" i="16" s="1"/>
  <c r="S32" i="16"/>
  <c r="U32" i="16" s="1"/>
  <c r="S71" i="16"/>
  <c r="U71" i="16" s="1"/>
  <c r="S184" i="16"/>
  <c r="U184" i="16" s="1"/>
  <c r="N8" i="16"/>
  <c r="P8" i="16" s="1"/>
  <c r="S153" i="16"/>
  <c r="U153" i="16" s="1"/>
  <c r="S156" i="16"/>
  <c r="U156" i="16" s="1"/>
  <c r="S66" i="16"/>
  <c r="U66" i="16" s="1"/>
  <c r="N188" i="16"/>
  <c r="P188" i="16" s="1"/>
  <c r="S182" i="16"/>
  <c r="U182" i="16" s="1"/>
  <c r="N105" i="16"/>
  <c r="P105" i="16" s="1"/>
  <c r="S33" i="16"/>
  <c r="U33" i="16" s="1"/>
  <c r="N44" i="16"/>
  <c r="P44" i="16" s="1"/>
  <c r="N118" i="16"/>
  <c r="P118" i="16" s="1"/>
  <c r="S76" i="16"/>
  <c r="U76" i="16" s="1"/>
  <c r="N198" i="16"/>
  <c r="P198" i="16" s="1"/>
  <c r="N100" i="16"/>
  <c r="P100" i="16" s="1"/>
  <c r="S31" i="16"/>
  <c r="U31" i="16" s="1"/>
  <c r="N137" i="16"/>
  <c r="P137" i="16" s="1"/>
  <c r="N11" i="16"/>
  <c r="P11" i="16" s="1"/>
  <c r="S131" i="16"/>
  <c r="U131" i="16" s="1"/>
  <c r="S62" i="16"/>
  <c r="U62" i="16" s="1"/>
  <c r="S48" i="16"/>
  <c r="U48" i="16" s="1"/>
  <c r="S17" i="16"/>
  <c r="U17" i="16" s="1"/>
  <c r="S81" i="16"/>
  <c r="U81" i="16" s="1"/>
  <c r="S187" i="16"/>
  <c r="U187" i="16" s="1"/>
  <c r="S220" i="16"/>
  <c r="U220" i="16" s="1"/>
  <c r="N175" i="16"/>
  <c r="P175" i="16" s="1"/>
  <c r="S46" i="16"/>
  <c r="U46" i="16" s="1"/>
  <c r="S148" i="16"/>
  <c r="U148" i="16" s="1"/>
  <c r="S103" i="16"/>
  <c r="U103" i="16" s="1"/>
  <c r="N251" i="16"/>
  <c r="P251" i="16" s="1"/>
  <c r="N231" i="16"/>
  <c r="P231" i="16" s="1"/>
  <c r="S87" i="16"/>
  <c r="U87" i="16" s="1"/>
  <c r="S211" i="16"/>
  <c r="U211" i="16" s="1"/>
  <c r="S124" i="16"/>
  <c r="U124" i="16" s="1"/>
  <c r="S68" i="16"/>
  <c r="U68" i="16" s="1"/>
  <c r="N57" i="16"/>
  <c r="P57" i="16" s="1"/>
  <c r="N93" i="16"/>
  <c r="P93" i="16" s="1"/>
  <c r="S85" i="16"/>
  <c r="U85" i="16" s="1"/>
  <c r="N27" i="16"/>
  <c r="P27" i="16" s="1"/>
  <c r="S173" i="16"/>
  <c r="U173" i="16" s="1"/>
  <c r="I3" i="16"/>
  <c r="S37" i="16"/>
  <c r="U37" i="16" s="1"/>
  <c r="N66" i="16"/>
  <c r="P66" i="16" s="1"/>
  <c r="S123" i="16"/>
  <c r="U123" i="16" s="1"/>
  <c r="S195" i="16"/>
  <c r="U195" i="16" s="1"/>
  <c r="S222" i="16"/>
  <c r="U222" i="16" s="1"/>
  <c r="S125" i="16"/>
  <c r="U125" i="16" s="1"/>
  <c r="N114" i="16"/>
  <c r="P114" i="16" s="1"/>
  <c r="S38" i="16"/>
  <c r="U38" i="16" s="1"/>
  <c r="N242" i="16"/>
  <c r="P242" i="16" s="1"/>
  <c r="S53" i="16"/>
  <c r="U53" i="16" s="1"/>
  <c r="S45" i="16"/>
  <c r="U45" i="16" s="1"/>
  <c r="S114" i="16"/>
  <c r="U114" i="16" s="1"/>
  <c r="S142" i="16"/>
  <c r="U142" i="16" s="1"/>
  <c r="S159" i="16"/>
  <c r="U159" i="16" s="1"/>
  <c r="N189" i="16"/>
  <c r="P189" i="16" s="1"/>
  <c r="S251" i="16"/>
  <c r="U251" i="16" s="1"/>
  <c r="S95" i="16"/>
  <c r="U95" i="16" s="1"/>
  <c r="N177" i="16"/>
  <c r="P177" i="16" s="1"/>
  <c r="S174" i="16"/>
  <c r="U174" i="16" s="1"/>
  <c r="N167" i="16"/>
  <c r="P167" i="16" s="1"/>
  <c r="N224" i="16"/>
  <c r="P224" i="16" s="1"/>
  <c r="S197" i="16"/>
  <c r="U197" i="16" s="1"/>
  <c r="N142" i="16"/>
  <c r="P142" i="16" s="1"/>
  <c r="S219" i="16"/>
  <c r="U219" i="16" s="1"/>
  <c r="N29" i="16"/>
  <c r="P29" i="16" s="1"/>
  <c r="N201" i="16"/>
  <c r="P201" i="16" s="1"/>
  <c r="S59" i="16"/>
  <c r="U59" i="16" s="1"/>
  <c r="S158" i="16"/>
  <c r="U158" i="16" s="1"/>
  <c r="S205" i="16"/>
  <c r="U205" i="16" s="1"/>
  <c r="S129" i="16"/>
  <c r="U129" i="16" s="1"/>
  <c r="N209" i="16"/>
  <c r="P209" i="16" s="1"/>
  <c r="P122" i="16"/>
  <c r="P252" i="16"/>
  <c r="P79" i="16"/>
  <c r="U41" i="16"/>
  <c r="U58" i="16"/>
  <c r="P83" i="16"/>
  <c r="P75" i="16"/>
  <c r="P233" i="16"/>
  <c r="I4" i="16"/>
  <c r="N208" i="16"/>
  <c r="P208" i="16" s="1"/>
  <c r="S27" i="16"/>
  <c r="U27" i="16" s="1"/>
  <c r="N35" i="16"/>
  <c r="P35" i="16" s="1"/>
  <c r="N71" i="16"/>
  <c r="P71" i="16" s="1"/>
  <c r="S166" i="16"/>
  <c r="U166" i="16" s="1"/>
  <c r="N125" i="16"/>
  <c r="P125" i="16" s="1"/>
  <c r="N90" i="16"/>
  <c r="P90" i="16" s="1"/>
  <c r="S14" i="16"/>
  <c r="U14" i="16" s="1"/>
  <c r="N96" i="16"/>
  <c r="P96" i="16" s="1"/>
  <c r="N136" i="16"/>
  <c r="P136" i="16" s="1"/>
  <c r="S99" i="16"/>
  <c r="U99" i="16" s="1"/>
  <c r="S13" i="16"/>
  <c r="U13" i="16" s="1"/>
  <c r="S238" i="16"/>
  <c r="U238" i="16" s="1"/>
  <c r="S51" i="16"/>
  <c r="U51" i="16" s="1"/>
  <c r="S39" i="16"/>
  <c r="U39" i="16" s="1"/>
  <c r="N213" i="16"/>
  <c r="P213" i="16" s="1"/>
  <c r="N68" i="16"/>
  <c r="P68" i="16" s="1"/>
  <c r="S10" i="16"/>
  <c r="U10" i="16" s="1"/>
  <c r="N28" i="16"/>
  <c r="P28" i="16" s="1"/>
  <c r="S247" i="16"/>
  <c r="U247" i="16" s="1"/>
  <c r="S154" i="16"/>
  <c r="U154" i="16" s="1"/>
  <c r="S162" i="16"/>
  <c r="U162" i="16" s="1"/>
  <c r="N130" i="16"/>
  <c r="P130" i="16" s="1"/>
  <c r="U4" i="16"/>
  <c r="N131" i="16"/>
  <c r="P131" i="16" s="1"/>
  <c r="S92" i="16"/>
  <c r="U92" i="16" s="1"/>
  <c r="S189" i="16"/>
  <c r="U189" i="16" s="1"/>
  <c r="N164" i="16"/>
  <c r="P164" i="16" s="1"/>
  <c r="N141" i="16"/>
  <c r="P141" i="16" s="1"/>
  <c r="S165" i="16"/>
  <c r="U165" i="16" s="1"/>
  <c r="N127" i="16"/>
  <c r="P127" i="16" s="1"/>
  <c r="S183" i="16"/>
  <c r="U183" i="16" s="1"/>
  <c r="S88" i="16"/>
  <c r="U88" i="16" s="1"/>
  <c r="N30" i="16"/>
  <c r="P30" i="16" s="1"/>
  <c r="N183" i="16"/>
  <c r="P183" i="16" s="1"/>
  <c r="S98" i="16"/>
  <c r="U98" i="16" s="1"/>
  <c r="P3" i="16" l="1"/>
  <c r="S2" i="16"/>
  <c r="S3" i="16" s="1"/>
  <c r="N2" i="16"/>
  <c r="N3" i="16" s="1"/>
  <c r="U3" i="16"/>
</calcChain>
</file>

<file path=xl/sharedStrings.xml><?xml version="1.0" encoding="utf-8"?>
<sst xmlns="http://schemas.openxmlformats.org/spreadsheetml/2006/main" count="4411" uniqueCount="322">
  <si>
    <t>報酬率</t>
    <phoneticPr fontId="2" type="noConversion"/>
  </si>
  <si>
    <t>10日最低</t>
    <phoneticPr fontId="7" type="noConversion"/>
  </si>
  <si>
    <t>5日報酬</t>
    <phoneticPr fontId="7" type="noConversion"/>
  </si>
  <si>
    <t>5日最低</t>
    <phoneticPr fontId="7" type="noConversion"/>
  </si>
  <si>
    <t>股票代號</t>
    <phoneticPr fontId="2" type="noConversion"/>
  </si>
  <si>
    <t>出場日</t>
    <phoneticPr fontId="2" type="noConversion"/>
  </si>
  <si>
    <t>進場日</t>
    <phoneticPr fontId="2" type="noConversion"/>
  </si>
  <si>
    <t>&lt;&lt;21}JyAAAsUmVpIQjuMEsC&gt;&gt;</t>
    <phoneticPr fontId="2" type="noConversion"/>
  </si>
  <si>
    <t>&lt;&lt;21}JyAAAsUmV7MQIfP$NZ2V7z&gt;&gt;</t>
    <phoneticPr fontId="2" type="noConversion"/>
  </si>
  <si>
    <t>日期</t>
  </si>
  <si>
    <t>股票代號</t>
  </si>
  <si>
    <t>股票名稱</t>
  </si>
  <si>
    <t>收盤價</t>
  </si>
  <si>
    <t>最高價</t>
  </si>
  <si>
    <t>最低價</t>
  </si>
  <si>
    <t>華泰</t>
  </si>
  <si>
    <t>STEP 1.</t>
    <phoneticPr fontId="2" type="noConversion"/>
  </si>
  <si>
    <t>STEP 2.</t>
    <phoneticPr fontId="2" type="noConversion"/>
  </si>
  <si>
    <t>進場
收盤價</t>
    <phoneticPr fontId="2" type="noConversion"/>
  </si>
  <si>
    <t>未來5日
最低</t>
    <phoneticPr fontId="2" type="noConversion"/>
  </si>
  <si>
    <t>未來10日
最低</t>
    <phoneticPr fontId="2" type="noConversion"/>
  </si>
  <si>
    <t>出場
收盤價</t>
    <phoneticPr fontId="2" type="noConversion"/>
  </si>
  <si>
    <t>期間
最低價</t>
    <phoneticPr fontId="2" type="noConversion"/>
  </si>
  <si>
    <t>期間
最高價</t>
    <phoneticPr fontId="2" type="noConversion"/>
  </si>
  <si>
    <t>&lt;&lt;21}Jy6}vxC8^XB{$Pn0eR{EP6bg6kl{iLqGHFcMH0tm{Pd^aejv7yqeRDkeyWswTMYw1BlD2IaGnJBkjI2UUR}fP8n{}liOCDqsuV9v}UL}8HGBnXFl8PqtLYv3bulwkgV$VmN8^7N{8bRjr2FnYc8fGlRQvdITQ7CCFWMmZJL9EpRQj8MWM$CCfnJlBA0RbBAT74WRE323h3ktQz&gt;&gt;</t>
    <phoneticPr fontId="2" type="noConversion"/>
  </si>
  <si>
    <t>STEP 3.</t>
    <phoneticPr fontId="2" type="noConversion"/>
  </si>
  <si>
    <r>
      <t xml:space="preserve">輸入回測資料
</t>
    </r>
    <r>
      <rPr>
        <b/>
        <sz val="12"/>
        <color theme="1"/>
        <rFont val="標楷體"/>
        <family val="4"/>
        <charset val="136"/>
      </rPr>
      <t>(A、B、C三欄)</t>
    </r>
    <phoneticPr fontId="2" type="noConversion"/>
  </si>
  <si>
    <t>交易日
天數</t>
    <phoneticPr fontId="2" type="noConversion"/>
  </si>
  <si>
    <t>交易天數</t>
    <phoneticPr fontId="2" type="noConversion"/>
  </si>
  <si>
    <t>10日報酬</t>
    <phoneticPr fontId="2" type="noConversion"/>
  </si>
  <si>
    <t>10日報酬</t>
    <phoneticPr fontId="7" type="noConversion"/>
  </si>
  <si>
    <t>20日報酬</t>
    <phoneticPr fontId="2" type="noConversion"/>
  </si>
  <si>
    <t>20日報酬</t>
    <phoneticPr fontId="2" type="noConversion"/>
  </si>
  <si>
    <t>進場日</t>
    <phoneticPr fontId="2" type="noConversion"/>
  </si>
  <si>
    <t>出場日</t>
    <phoneticPr fontId="2" type="noConversion"/>
  </si>
  <si>
    <t>停利日</t>
    <phoneticPr fontId="2" type="noConversion"/>
  </si>
  <si>
    <t>停損日</t>
    <phoneticPr fontId="2" type="noConversion"/>
  </si>
  <si>
    <t>5日報酬</t>
  </si>
  <si>
    <t>5日報酬</t>
    <phoneticPr fontId="2" type="noConversion"/>
  </si>
  <si>
    <t>1日報酬</t>
    <phoneticPr fontId="2" type="noConversion"/>
  </si>
  <si>
    <t>2日報酬</t>
    <phoneticPr fontId="2" type="noConversion"/>
  </si>
  <si>
    <t>3日報酬</t>
  </si>
  <si>
    <t>4日報酬</t>
  </si>
  <si>
    <t>6日報酬</t>
  </si>
  <si>
    <t>7日報酬</t>
  </si>
  <si>
    <t>8日報酬</t>
  </si>
  <si>
    <t>9日報酬</t>
  </si>
  <si>
    <t>10日報酬</t>
  </si>
  <si>
    <t>11日報酬</t>
  </si>
  <si>
    <t>12日報酬</t>
  </si>
  <si>
    <t>13日報酬</t>
  </si>
  <si>
    <t>14日報酬</t>
  </si>
  <si>
    <t>15日報酬</t>
  </si>
  <si>
    <t>16日報酬</t>
  </si>
  <si>
    <t>17日報酬</t>
  </si>
  <si>
    <t>18日報酬</t>
  </si>
  <si>
    <t>19日報酬</t>
  </si>
  <si>
    <t>20日報酬</t>
  </si>
  <si>
    <t>21日報酬</t>
  </si>
  <si>
    <t>22日報酬</t>
  </si>
  <si>
    <t>23日報酬</t>
  </si>
  <si>
    <t>24日報酬</t>
  </si>
  <si>
    <t>期間最低</t>
    <phoneticPr fontId="7" type="noConversion"/>
  </si>
  <si>
    <t>期間最高</t>
    <phoneticPr fontId="2" type="noConversion"/>
  </si>
  <si>
    <t>&lt;&lt;LKQbXHjQyC$VmN7^hIU0FLBkWHRMfHRZ2BDwHUWcFQGVRF7Z8D73XRQndMUIkCEvVAEV{GRQBB9VOBog40GJyFjAhAkQBAGniJ93dD9RWE80gAQMTFlrHFAFN4V0r5X8HHBAHRQnvMUIkCFJT&gt;&gt;</t>
    <phoneticPr fontId="2" type="noConversion"/>
  </si>
  <si>
    <t>期間最低報酬F(i)/$D$3&lt;-003</t>
    <phoneticPr fontId="2" type="noConversion"/>
  </si>
  <si>
    <t>24日報酬</t>
    <phoneticPr fontId="2" type="noConversion"/>
  </si>
  <si>
    <t>25日報酬</t>
    <phoneticPr fontId="2" type="noConversion"/>
  </si>
  <si>
    <t>26日報酬</t>
    <phoneticPr fontId="2" type="noConversion"/>
  </si>
  <si>
    <t>27日報酬</t>
    <phoneticPr fontId="2" type="noConversion"/>
  </si>
  <si>
    <t>250日報酬</t>
    <phoneticPr fontId="2" type="noConversion"/>
  </si>
  <si>
    <t>249日報酬</t>
    <phoneticPr fontId="2" type="noConversion"/>
  </si>
  <si>
    <t>248日報酬</t>
    <phoneticPr fontId="2" type="noConversion"/>
  </si>
  <si>
    <t>247日報酬</t>
    <phoneticPr fontId="2" type="noConversion"/>
  </si>
  <si>
    <t>246日報酬</t>
    <phoneticPr fontId="2" type="noConversion"/>
  </si>
  <si>
    <t>245日報酬</t>
    <phoneticPr fontId="2" type="noConversion"/>
  </si>
  <si>
    <t>244日報酬</t>
    <phoneticPr fontId="2" type="noConversion"/>
  </si>
  <si>
    <t>243日報酬</t>
    <phoneticPr fontId="2" type="noConversion"/>
  </si>
  <si>
    <t>242日報酬</t>
    <phoneticPr fontId="2" type="noConversion"/>
  </si>
  <si>
    <t>241日報酬</t>
    <phoneticPr fontId="2" type="noConversion"/>
  </si>
  <si>
    <t>240日報酬</t>
    <phoneticPr fontId="2" type="noConversion"/>
  </si>
  <si>
    <t>239日報酬</t>
    <phoneticPr fontId="2" type="noConversion"/>
  </si>
  <si>
    <t>238日報酬</t>
    <phoneticPr fontId="2" type="noConversion"/>
  </si>
  <si>
    <t>237日報酬</t>
    <phoneticPr fontId="2" type="noConversion"/>
  </si>
  <si>
    <t>236日報酬</t>
    <phoneticPr fontId="2" type="noConversion"/>
  </si>
  <si>
    <t>235日報酬</t>
    <phoneticPr fontId="2" type="noConversion"/>
  </si>
  <si>
    <t>234日報酬</t>
    <phoneticPr fontId="2" type="noConversion"/>
  </si>
  <si>
    <t>233日報酬</t>
    <phoneticPr fontId="2" type="noConversion"/>
  </si>
  <si>
    <t>232日報酬</t>
    <phoneticPr fontId="2" type="noConversion"/>
  </si>
  <si>
    <t>231日報酬</t>
    <phoneticPr fontId="2" type="noConversion"/>
  </si>
  <si>
    <t>230日報酬</t>
    <phoneticPr fontId="2" type="noConversion"/>
  </si>
  <si>
    <t>229日報酬</t>
    <phoneticPr fontId="2" type="noConversion"/>
  </si>
  <si>
    <t>228日報酬</t>
    <phoneticPr fontId="2" type="noConversion"/>
  </si>
  <si>
    <t>227日報酬</t>
    <phoneticPr fontId="2" type="noConversion"/>
  </si>
  <si>
    <t>226日報酬</t>
    <phoneticPr fontId="2" type="noConversion"/>
  </si>
  <si>
    <t>225日報酬</t>
    <phoneticPr fontId="2" type="noConversion"/>
  </si>
  <si>
    <t>224日報酬</t>
    <phoneticPr fontId="2" type="noConversion"/>
  </si>
  <si>
    <t>223日報酬</t>
    <phoneticPr fontId="2" type="noConversion"/>
  </si>
  <si>
    <t>222日報酬</t>
    <phoneticPr fontId="2" type="noConversion"/>
  </si>
  <si>
    <t>221日報酬</t>
    <phoneticPr fontId="2" type="noConversion"/>
  </si>
  <si>
    <t>220日報酬</t>
    <phoneticPr fontId="2" type="noConversion"/>
  </si>
  <si>
    <t>219日報酬</t>
    <phoneticPr fontId="2" type="noConversion"/>
  </si>
  <si>
    <t>218日報酬</t>
    <phoneticPr fontId="2" type="noConversion"/>
  </si>
  <si>
    <t>217日報酬</t>
    <phoneticPr fontId="2" type="noConversion"/>
  </si>
  <si>
    <t>216日報酬</t>
    <phoneticPr fontId="2" type="noConversion"/>
  </si>
  <si>
    <t>215日報酬</t>
    <phoneticPr fontId="2" type="noConversion"/>
  </si>
  <si>
    <t>214日報酬</t>
    <phoneticPr fontId="2" type="noConversion"/>
  </si>
  <si>
    <t>213日報酬</t>
    <phoneticPr fontId="2" type="noConversion"/>
  </si>
  <si>
    <t>212日報酬</t>
    <phoneticPr fontId="2" type="noConversion"/>
  </si>
  <si>
    <t>211日報酬</t>
    <phoneticPr fontId="2" type="noConversion"/>
  </si>
  <si>
    <t>210日報酬</t>
    <phoneticPr fontId="2" type="noConversion"/>
  </si>
  <si>
    <t>209日報酬</t>
    <phoneticPr fontId="2" type="noConversion"/>
  </si>
  <si>
    <t>208日報酬</t>
    <phoneticPr fontId="2" type="noConversion"/>
  </si>
  <si>
    <t>207日報酬</t>
    <phoneticPr fontId="2" type="noConversion"/>
  </si>
  <si>
    <t>206日報酬</t>
    <phoneticPr fontId="2" type="noConversion"/>
  </si>
  <si>
    <t>205日報酬</t>
    <phoneticPr fontId="2" type="noConversion"/>
  </si>
  <si>
    <t>204日報酬</t>
    <phoneticPr fontId="2" type="noConversion"/>
  </si>
  <si>
    <t>203日報酬</t>
    <phoneticPr fontId="2" type="noConversion"/>
  </si>
  <si>
    <t>202日報酬</t>
    <phoneticPr fontId="2" type="noConversion"/>
  </si>
  <si>
    <t>201日報酬</t>
    <phoneticPr fontId="2" type="noConversion"/>
  </si>
  <si>
    <t>200日報酬</t>
    <phoneticPr fontId="2" type="noConversion"/>
  </si>
  <si>
    <t>199日報酬</t>
    <phoneticPr fontId="2" type="noConversion"/>
  </si>
  <si>
    <t>198日報酬</t>
    <phoneticPr fontId="2" type="noConversion"/>
  </si>
  <si>
    <t>197日報酬</t>
    <phoneticPr fontId="2" type="noConversion"/>
  </si>
  <si>
    <t>196日報酬</t>
    <phoneticPr fontId="2" type="noConversion"/>
  </si>
  <si>
    <t>195日報酬</t>
    <phoneticPr fontId="2" type="noConversion"/>
  </si>
  <si>
    <t>194日報酬</t>
    <phoneticPr fontId="2" type="noConversion"/>
  </si>
  <si>
    <t>193日報酬</t>
    <phoneticPr fontId="2" type="noConversion"/>
  </si>
  <si>
    <t>192日報酬</t>
    <phoneticPr fontId="2" type="noConversion"/>
  </si>
  <si>
    <t>191日報酬</t>
    <phoneticPr fontId="2" type="noConversion"/>
  </si>
  <si>
    <t>190日報酬</t>
    <phoneticPr fontId="2" type="noConversion"/>
  </si>
  <si>
    <t>189日報酬</t>
    <phoneticPr fontId="2" type="noConversion"/>
  </si>
  <si>
    <t>188日報酬</t>
    <phoneticPr fontId="2" type="noConversion"/>
  </si>
  <si>
    <t>187日報酬</t>
    <phoneticPr fontId="2" type="noConversion"/>
  </si>
  <si>
    <t>186日報酬</t>
    <phoneticPr fontId="2" type="noConversion"/>
  </si>
  <si>
    <t>185日報酬</t>
    <phoneticPr fontId="2" type="noConversion"/>
  </si>
  <si>
    <t>184日報酬</t>
    <phoneticPr fontId="2" type="noConversion"/>
  </si>
  <si>
    <t>183日報酬</t>
    <phoneticPr fontId="2" type="noConversion"/>
  </si>
  <si>
    <t>182日報酬</t>
    <phoneticPr fontId="2" type="noConversion"/>
  </si>
  <si>
    <t>181日報酬</t>
    <phoneticPr fontId="2" type="noConversion"/>
  </si>
  <si>
    <t>180日報酬</t>
    <phoneticPr fontId="2" type="noConversion"/>
  </si>
  <si>
    <t>179日報酬</t>
    <phoneticPr fontId="2" type="noConversion"/>
  </si>
  <si>
    <t>178日報酬</t>
    <phoneticPr fontId="2" type="noConversion"/>
  </si>
  <si>
    <t>177日報酬</t>
    <phoneticPr fontId="2" type="noConversion"/>
  </si>
  <si>
    <t>176日報酬</t>
    <phoneticPr fontId="2" type="noConversion"/>
  </si>
  <si>
    <t>175日報酬</t>
    <phoneticPr fontId="2" type="noConversion"/>
  </si>
  <si>
    <t>174日報酬</t>
    <phoneticPr fontId="2" type="noConversion"/>
  </si>
  <si>
    <t>173日報酬</t>
    <phoneticPr fontId="2" type="noConversion"/>
  </si>
  <si>
    <t>172日報酬</t>
    <phoneticPr fontId="2" type="noConversion"/>
  </si>
  <si>
    <t>171日報酬</t>
    <phoneticPr fontId="2" type="noConversion"/>
  </si>
  <si>
    <t>170日報酬</t>
    <phoneticPr fontId="2" type="noConversion"/>
  </si>
  <si>
    <t>169日報酬</t>
    <phoneticPr fontId="2" type="noConversion"/>
  </si>
  <si>
    <t>168日報酬</t>
    <phoneticPr fontId="2" type="noConversion"/>
  </si>
  <si>
    <t>167日報酬</t>
    <phoneticPr fontId="2" type="noConversion"/>
  </si>
  <si>
    <t>166日報酬</t>
    <phoneticPr fontId="2" type="noConversion"/>
  </si>
  <si>
    <t>165日報酬</t>
    <phoneticPr fontId="2" type="noConversion"/>
  </si>
  <si>
    <t>164日報酬</t>
    <phoneticPr fontId="2" type="noConversion"/>
  </si>
  <si>
    <t>163日報酬</t>
    <phoneticPr fontId="2" type="noConversion"/>
  </si>
  <si>
    <t>162日報酬</t>
    <phoneticPr fontId="2" type="noConversion"/>
  </si>
  <si>
    <t>161日報酬</t>
    <phoneticPr fontId="2" type="noConversion"/>
  </si>
  <si>
    <t>160日報酬</t>
    <phoneticPr fontId="2" type="noConversion"/>
  </si>
  <si>
    <t>159日報酬</t>
    <phoneticPr fontId="2" type="noConversion"/>
  </si>
  <si>
    <t>158日報酬</t>
    <phoneticPr fontId="2" type="noConversion"/>
  </si>
  <si>
    <t>157日報酬</t>
    <phoneticPr fontId="2" type="noConversion"/>
  </si>
  <si>
    <t>156日報酬</t>
    <phoneticPr fontId="2" type="noConversion"/>
  </si>
  <si>
    <t>155日報酬</t>
    <phoneticPr fontId="2" type="noConversion"/>
  </si>
  <si>
    <t>154日報酬</t>
    <phoneticPr fontId="2" type="noConversion"/>
  </si>
  <si>
    <t>153日報酬</t>
    <phoneticPr fontId="2" type="noConversion"/>
  </si>
  <si>
    <t>152日報酬</t>
    <phoneticPr fontId="2" type="noConversion"/>
  </si>
  <si>
    <t>151日報酬</t>
    <phoneticPr fontId="2" type="noConversion"/>
  </si>
  <si>
    <t>150日報酬</t>
    <phoneticPr fontId="2" type="noConversion"/>
  </si>
  <si>
    <t>149日報酬</t>
    <phoneticPr fontId="2" type="noConversion"/>
  </si>
  <si>
    <t>148日報酬</t>
    <phoneticPr fontId="2" type="noConversion"/>
  </si>
  <si>
    <t>147日報酬</t>
    <phoneticPr fontId="2" type="noConversion"/>
  </si>
  <si>
    <t>146日報酬</t>
    <phoneticPr fontId="2" type="noConversion"/>
  </si>
  <si>
    <t>145日報酬</t>
    <phoneticPr fontId="2" type="noConversion"/>
  </si>
  <si>
    <t>144日報酬</t>
    <phoneticPr fontId="2" type="noConversion"/>
  </si>
  <si>
    <t>143日報酬</t>
    <phoneticPr fontId="2" type="noConversion"/>
  </si>
  <si>
    <t>142日報酬</t>
    <phoneticPr fontId="2" type="noConversion"/>
  </si>
  <si>
    <t>141日報酬</t>
    <phoneticPr fontId="2" type="noConversion"/>
  </si>
  <si>
    <t>140日報酬</t>
    <phoneticPr fontId="2" type="noConversion"/>
  </si>
  <si>
    <t>139日報酬</t>
    <phoneticPr fontId="2" type="noConversion"/>
  </si>
  <si>
    <t>138日報酬</t>
    <phoneticPr fontId="2" type="noConversion"/>
  </si>
  <si>
    <t>137日報酬</t>
    <phoneticPr fontId="2" type="noConversion"/>
  </si>
  <si>
    <t>136日報酬</t>
    <phoneticPr fontId="2" type="noConversion"/>
  </si>
  <si>
    <t>135日報酬</t>
    <phoneticPr fontId="2" type="noConversion"/>
  </si>
  <si>
    <t>134日報酬</t>
    <phoneticPr fontId="2" type="noConversion"/>
  </si>
  <si>
    <t>133日報酬</t>
    <phoneticPr fontId="2" type="noConversion"/>
  </si>
  <si>
    <t>132日報酬</t>
    <phoneticPr fontId="2" type="noConversion"/>
  </si>
  <si>
    <t>131日報酬</t>
    <phoneticPr fontId="2" type="noConversion"/>
  </si>
  <si>
    <t>130日報酬</t>
    <phoneticPr fontId="2" type="noConversion"/>
  </si>
  <si>
    <t>129日報酬</t>
    <phoneticPr fontId="2" type="noConversion"/>
  </si>
  <si>
    <t>128日報酬</t>
    <phoneticPr fontId="2" type="noConversion"/>
  </si>
  <si>
    <t>127日報酬</t>
    <phoneticPr fontId="2" type="noConversion"/>
  </si>
  <si>
    <t>126日報酬</t>
    <phoneticPr fontId="2" type="noConversion"/>
  </si>
  <si>
    <t>125日報酬</t>
    <phoneticPr fontId="2" type="noConversion"/>
  </si>
  <si>
    <t>124日報酬</t>
    <phoneticPr fontId="2" type="noConversion"/>
  </si>
  <si>
    <t>123日報酬</t>
    <phoneticPr fontId="2" type="noConversion"/>
  </si>
  <si>
    <t>122日報酬</t>
    <phoneticPr fontId="2" type="noConversion"/>
  </si>
  <si>
    <t>121日報酬</t>
    <phoneticPr fontId="2" type="noConversion"/>
  </si>
  <si>
    <t>120日報酬</t>
    <phoneticPr fontId="2" type="noConversion"/>
  </si>
  <si>
    <t>119日報酬</t>
    <phoneticPr fontId="2" type="noConversion"/>
  </si>
  <si>
    <t>118日報酬</t>
    <phoneticPr fontId="2" type="noConversion"/>
  </si>
  <si>
    <t>117日報酬</t>
    <phoneticPr fontId="2" type="noConversion"/>
  </si>
  <si>
    <t>116日報酬</t>
    <phoneticPr fontId="2" type="noConversion"/>
  </si>
  <si>
    <t>115日報酬</t>
    <phoneticPr fontId="2" type="noConversion"/>
  </si>
  <si>
    <t>114日報酬</t>
    <phoneticPr fontId="2" type="noConversion"/>
  </si>
  <si>
    <t>113日報酬</t>
    <phoneticPr fontId="2" type="noConversion"/>
  </si>
  <si>
    <t>112日報酬</t>
    <phoneticPr fontId="2" type="noConversion"/>
  </si>
  <si>
    <t>111日報酬</t>
    <phoneticPr fontId="2" type="noConversion"/>
  </si>
  <si>
    <t>110日報酬</t>
    <phoneticPr fontId="2" type="noConversion"/>
  </si>
  <si>
    <t>109日報酬</t>
    <phoneticPr fontId="2" type="noConversion"/>
  </si>
  <si>
    <t>108日報酬</t>
    <phoneticPr fontId="2" type="noConversion"/>
  </si>
  <si>
    <t>107日報酬</t>
    <phoneticPr fontId="2" type="noConversion"/>
  </si>
  <si>
    <t>106日報酬</t>
    <phoneticPr fontId="2" type="noConversion"/>
  </si>
  <si>
    <t>105日報酬</t>
    <phoneticPr fontId="2" type="noConversion"/>
  </si>
  <si>
    <t>104日報酬</t>
    <phoneticPr fontId="2" type="noConversion"/>
  </si>
  <si>
    <t>103日報酬</t>
    <phoneticPr fontId="2" type="noConversion"/>
  </si>
  <si>
    <t>102日報酬</t>
    <phoneticPr fontId="2" type="noConversion"/>
  </si>
  <si>
    <t>101日報酬</t>
    <phoneticPr fontId="2" type="noConversion"/>
  </si>
  <si>
    <t>100日報酬</t>
    <phoneticPr fontId="2" type="noConversion"/>
  </si>
  <si>
    <t>99日報酬</t>
    <phoneticPr fontId="2" type="noConversion"/>
  </si>
  <si>
    <t>98日報酬</t>
    <phoneticPr fontId="2" type="noConversion"/>
  </si>
  <si>
    <t>97日報酬</t>
    <phoneticPr fontId="2" type="noConversion"/>
  </si>
  <si>
    <t>96日報酬</t>
    <phoneticPr fontId="2" type="noConversion"/>
  </si>
  <si>
    <t>95日報酬</t>
    <phoneticPr fontId="2" type="noConversion"/>
  </si>
  <si>
    <t>94日報酬</t>
    <phoneticPr fontId="2" type="noConversion"/>
  </si>
  <si>
    <t>93日報酬</t>
    <phoneticPr fontId="2" type="noConversion"/>
  </si>
  <si>
    <t>92日報酬</t>
    <phoneticPr fontId="2" type="noConversion"/>
  </si>
  <si>
    <t>91日報酬</t>
    <phoneticPr fontId="2" type="noConversion"/>
  </si>
  <si>
    <t>90日報酬</t>
    <phoneticPr fontId="2" type="noConversion"/>
  </si>
  <si>
    <t>89日報酬</t>
    <phoneticPr fontId="2" type="noConversion"/>
  </si>
  <si>
    <t>88日報酬</t>
    <phoneticPr fontId="2" type="noConversion"/>
  </si>
  <si>
    <t>87日報酬</t>
    <phoneticPr fontId="2" type="noConversion"/>
  </si>
  <si>
    <t>86日報酬</t>
    <phoneticPr fontId="2" type="noConversion"/>
  </si>
  <si>
    <t>85日報酬</t>
    <phoneticPr fontId="2" type="noConversion"/>
  </si>
  <si>
    <t>84日報酬</t>
    <phoneticPr fontId="2" type="noConversion"/>
  </si>
  <si>
    <t>83日報酬</t>
    <phoneticPr fontId="2" type="noConversion"/>
  </si>
  <si>
    <t>82日報酬</t>
    <phoneticPr fontId="2" type="noConversion"/>
  </si>
  <si>
    <t>81日報酬</t>
    <phoneticPr fontId="2" type="noConversion"/>
  </si>
  <si>
    <t>80日報酬</t>
    <phoneticPr fontId="2" type="noConversion"/>
  </si>
  <si>
    <t>79日報酬</t>
    <phoneticPr fontId="2" type="noConversion"/>
  </si>
  <si>
    <t>78日報酬</t>
    <phoneticPr fontId="2" type="noConversion"/>
  </si>
  <si>
    <t>77日報酬</t>
    <phoneticPr fontId="2" type="noConversion"/>
  </si>
  <si>
    <t>76日報酬</t>
    <phoneticPr fontId="2" type="noConversion"/>
  </si>
  <si>
    <t>75日報酬</t>
    <phoneticPr fontId="2" type="noConversion"/>
  </si>
  <si>
    <t>74日報酬</t>
    <phoneticPr fontId="2" type="noConversion"/>
  </si>
  <si>
    <t>73日報酬</t>
    <phoneticPr fontId="2" type="noConversion"/>
  </si>
  <si>
    <t>72日報酬</t>
    <phoneticPr fontId="2" type="noConversion"/>
  </si>
  <si>
    <t>71日報酬</t>
    <phoneticPr fontId="2" type="noConversion"/>
  </si>
  <si>
    <t>70日報酬</t>
    <phoneticPr fontId="2" type="noConversion"/>
  </si>
  <si>
    <t>69日報酬</t>
    <phoneticPr fontId="2" type="noConversion"/>
  </si>
  <si>
    <t>68日報酬</t>
    <phoneticPr fontId="2" type="noConversion"/>
  </si>
  <si>
    <t>67日報酬</t>
    <phoneticPr fontId="2" type="noConversion"/>
  </si>
  <si>
    <t>66日報酬</t>
    <phoneticPr fontId="2" type="noConversion"/>
  </si>
  <si>
    <t>65日報酬</t>
    <phoneticPr fontId="2" type="noConversion"/>
  </si>
  <si>
    <t>64日報酬</t>
    <phoneticPr fontId="2" type="noConversion"/>
  </si>
  <si>
    <t>63日報酬</t>
    <phoneticPr fontId="2" type="noConversion"/>
  </si>
  <si>
    <t>62日報酬</t>
    <phoneticPr fontId="2" type="noConversion"/>
  </si>
  <si>
    <t>61日報酬</t>
    <phoneticPr fontId="2" type="noConversion"/>
  </si>
  <si>
    <t>60日報酬</t>
    <phoneticPr fontId="2" type="noConversion"/>
  </si>
  <si>
    <t>59日報酬</t>
    <phoneticPr fontId="2" type="noConversion"/>
  </si>
  <si>
    <t>58日報酬</t>
    <phoneticPr fontId="2" type="noConversion"/>
  </si>
  <si>
    <t>57日報酬</t>
    <phoneticPr fontId="2" type="noConversion"/>
  </si>
  <si>
    <t>56日報酬</t>
    <phoneticPr fontId="2" type="noConversion"/>
  </si>
  <si>
    <t>55日報酬</t>
    <phoneticPr fontId="2" type="noConversion"/>
  </si>
  <si>
    <t>54日報酬</t>
    <phoneticPr fontId="2" type="noConversion"/>
  </si>
  <si>
    <t>53日報酬</t>
    <phoneticPr fontId="2" type="noConversion"/>
  </si>
  <si>
    <t>52日報酬</t>
    <phoneticPr fontId="2" type="noConversion"/>
  </si>
  <si>
    <t>51日報酬</t>
    <phoneticPr fontId="2" type="noConversion"/>
  </si>
  <si>
    <t>50日報酬</t>
    <phoneticPr fontId="2" type="noConversion"/>
  </si>
  <si>
    <t>49日報酬</t>
    <phoneticPr fontId="2" type="noConversion"/>
  </si>
  <si>
    <t>48日報酬</t>
    <phoneticPr fontId="2" type="noConversion"/>
  </si>
  <si>
    <t>47日報酬</t>
    <phoneticPr fontId="2" type="noConversion"/>
  </si>
  <si>
    <t>46日報酬</t>
    <phoneticPr fontId="2" type="noConversion"/>
  </si>
  <si>
    <t>45日報酬</t>
    <phoneticPr fontId="2" type="noConversion"/>
  </si>
  <si>
    <t>44日報酬</t>
    <phoneticPr fontId="2" type="noConversion"/>
  </si>
  <si>
    <t>43日報酬</t>
    <phoneticPr fontId="2" type="noConversion"/>
  </si>
  <si>
    <t>42日報酬</t>
    <phoneticPr fontId="2" type="noConversion"/>
  </si>
  <si>
    <t>41日報酬</t>
    <phoneticPr fontId="2" type="noConversion"/>
  </si>
  <si>
    <t>40日報酬</t>
    <phoneticPr fontId="2" type="noConversion"/>
  </si>
  <si>
    <t>39日報酬</t>
    <phoneticPr fontId="2" type="noConversion"/>
  </si>
  <si>
    <t>38日報酬</t>
    <phoneticPr fontId="2" type="noConversion"/>
  </si>
  <si>
    <t>37日報酬</t>
    <phoneticPr fontId="2" type="noConversion"/>
  </si>
  <si>
    <t>36日報酬</t>
    <phoneticPr fontId="2" type="noConversion"/>
  </si>
  <si>
    <t>35日報酬</t>
    <phoneticPr fontId="2" type="noConversion"/>
  </si>
  <si>
    <t>34日報酬</t>
    <phoneticPr fontId="2" type="noConversion"/>
  </si>
  <si>
    <t>33日報酬</t>
    <phoneticPr fontId="2" type="noConversion"/>
  </si>
  <si>
    <t>32日報酬</t>
    <phoneticPr fontId="2" type="noConversion"/>
  </si>
  <si>
    <t>31日報酬</t>
    <phoneticPr fontId="2" type="noConversion"/>
  </si>
  <si>
    <t>30日報酬</t>
    <phoneticPr fontId="2" type="noConversion"/>
  </si>
  <si>
    <t>29日報酬</t>
    <phoneticPr fontId="2" type="noConversion"/>
  </si>
  <si>
    <t>28日報酬</t>
    <phoneticPr fontId="2" type="noConversion"/>
  </si>
  <si>
    <t>日期</t>
    <phoneticPr fontId="2" type="noConversion"/>
  </si>
  <si>
    <t>期間最低報酬</t>
    <phoneticPr fontId="2" type="noConversion"/>
  </si>
  <si>
    <t>期間最高報酬0.05&lt;E(i)/$D$3 &lt;0.1637約0.16</t>
    <phoneticPr fontId="2" type="noConversion"/>
  </si>
  <si>
    <t>期間最高報酬</t>
    <phoneticPr fontId="2" type="noConversion"/>
  </si>
  <si>
    <t>STEP 5.</t>
    <phoneticPr fontId="2" type="noConversion"/>
  </si>
  <si>
    <t>停利日&gt;=0.1637</t>
    <phoneticPr fontId="2" type="noConversion"/>
  </si>
  <si>
    <t>STEP 4.</t>
    <phoneticPr fontId="2" type="noConversion"/>
  </si>
  <si>
    <t xml:space="preserve">         STEP 4-1          </t>
    <phoneticPr fontId="2" type="noConversion"/>
  </si>
  <si>
    <t xml:space="preserve">STEP 1-1   </t>
    <phoneticPr fontId="2" type="noConversion"/>
  </si>
  <si>
    <t>確定停損(利)績效後，於查詢樣板中隨時更改停(損)利，更改後執行STEP5，再重新完成STEP2、3、4即可。</t>
    <phoneticPr fontId="2" type="noConversion"/>
  </si>
  <si>
    <t>隨後手動部分是將W、X欄做格式修正，再反貼於A、B欄。</t>
    <phoneticPr fontId="2" type="noConversion"/>
  </si>
  <si>
    <t>STEP 4-1</t>
    <phoneticPr fontId="2" type="noConversion"/>
  </si>
  <si>
    <t xml:space="preserve"> </t>
    <phoneticPr fontId="2" type="noConversion"/>
  </si>
  <si>
    <t>橘色為隨時更改停(損)利績效分別為P4及U4，輸入後再點兩下即可，黃色為固定格式。</t>
    <phoneticPr fontId="2" type="noConversion"/>
  </si>
  <si>
    <t>停損日&lt;=-0.03</t>
    <phoneticPr fontId="2" type="noConversion"/>
  </si>
  <si>
    <t>6223</t>
    <phoneticPr fontId="2" type="noConversion"/>
  </si>
  <si>
    <t>5488</t>
    <phoneticPr fontId="2" type="noConversion"/>
  </si>
  <si>
    <t>1514</t>
    <phoneticPr fontId="2" type="noConversion"/>
  </si>
  <si>
    <t>2472</t>
    <phoneticPr fontId="2" type="noConversion"/>
  </si>
  <si>
    <t>8079</t>
    <phoneticPr fontId="2" type="noConversion"/>
  </si>
  <si>
    <t>3534</t>
    <phoneticPr fontId="2" type="noConversion"/>
  </si>
  <si>
    <t>2478</t>
    <phoneticPr fontId="2" type="noConversion"/>
  </si>
  <si>
    <t>立隆電</t>
  </si>
  <si>
    <t>亞力</t>
  </si>
  <si>
    <t>松普科技</t>
  </si>
  <si>
    <t>旺矽科技</t>
  </si>
  <si>
    <t>誠遠科技</t>
  </si>
  <si>
    <t>雷凌</t>
  </si>
  <si>
    <t>大毅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</si>
</sst>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sz val="12"/>
      <color theme="1"/>
      <name val="微軟正黑體"/>
      <family val="2"/>
      <charset val="136"/>
    </font>
    <font>
      <b/>
      <sz val="12"/>
      <name val="新細明體"/>
      <family val="1"/>
      <charset val="136"/>
      <scheme val="minor"/>
    </font>
    <font>
      <sz val="9"/>
      <name val="微軟正黑體"/>
      <family val="2"/>
      <charset val="136"/>
    </font>
    <font>
      <b/>
      <sz val="14"/>
      <color rgb="FF000000"/>
      <name val="標楷體"/>
      <family val="4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12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</font>
    <font>
      <sz val="12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>
      <alignment vertical="center"/>
    </xf>
  </cellStyleXfs>
  <cellXfs count="65">
    <xf numFmtId="0" fontId="0" fillId="0" borderId="0" xfId="0">
      <alignment vertical="center"/>
    </xf>
    <xf numFmtId="10" fontId="0" fillId="0" borderId="0" xfId="1" applyNumberFormat="1" applyFont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/>
    </xf>
    <xf numFmtId="10" fontId="0" fillId="0" borderId="0" xfId="1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3" fillId="0" borderId="0" xfId="0" applyFont="1" applyFill="1" applyAlignment="1">
      <alignment vertical="center"/>
    </xf>
    <xf numFmtId="10" fontId="0" fillId="0" borderId="0" xfId="1" applyNumberFormat="1" applyFont="1" applyFill="1" applyBorder="1">
      <alignment vertical="center"/>
    </xf>
    <xf numFmtId="0" fontId="0" fillId="0" borderId="0" xfId="0" applyNumberForma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 wrapText="1"/>
    </xf>
    <xf numFmtId="0" fontId="11" fillId="0" borderId="0" xfId="0" applyFont="1" applyFill="1" applyBorder="1" applyAlignment="1">
      <alignment horizontal="left" vertical="center"/>
    </xf>
    <xf numFmtId="0" fontId="11" fillId="0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 vertical="center"/>
    </xf>
    <xf numFmtId="0" fontId="0" fillId="2" borderId="0" xfId="0" applyNumberFormat="1" applyFill="1" applyBorder="1">
      <alignment vertical="center"/>
    </xf>
    <xf numFmtId="0" fontId="0" fillId="2" borderId="0" xfId="0" applyFill="1" applyBorder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Fill="1" applyBorder="1" applyAlignment="1">
      <alignment vertical="center" wrapText="1"/>
    </xf>
    <xf numFmtId="0" fontId="0" fillId="2" borderId="0" xfId="0" applyFill="1">
      <alignment vertical="center"/>
    </xf>
    <xf numFmtId="10" fontId="0" fillId="2" borderId="0" xfId="1" applyNumberFormat="1" applyFont="1" applyFill="1">
      <alignment vertical="center"/>
    </xf>
    <xf numFmtId="10" fontId="0" fillId="0" borderId="0" xfId="0" applyNumberFormat="1">
      <alignment vertical="center"/>
    </xf>
    <xf numFmtId="176" fontId="0" fillId="0" borderId="0" xfId="1" applyNumberFormat="1" applyFont="1">
      <alignment vertical="center"/>
    </xf>
    <xf numFmtId="176" fontId="0" fillId="0" borderId="0" xfId="1" applyNumberFormat="1" applyFont="1" applyFill="1">
      <alignment vertical="center"/>
    </xf>
    <xf numFmtId="10" fontId="0" fillId="0" borderId="0" xfId="1" applyNumberFormat="1" applyFont="1" applyFill="1">
      <alignment vertical="center"/>
    </xf>
    <xf numFmtId="176" fontId="12" fillId="3" borderId="0" xfId="1" applyNumberFormat="1" applyFont="1" applyFill="1" applyBorder="1">
      <alignment vertical="center"/>
    </xf>
    <xf numFmtId="176" fontId="0" fillId="3" borderId="0" xfId="1" applyNumberFormat="1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76" fontId="0" fillId="2" borderId="0" xfId="0" applyNumberFormat="1" applyFill="1">
      <alignment vertical="center"/>
    </xf>
    <xf numFmtId="0" fontId="0" fillId="0" borderId="3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3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 wrapText="1"/>
    </xf>
    <xf numFmtId="0" fontId="6" fillId="0" borderId="3" xfId="0" applyFont="1" applyFill="1" applyBorder="1" applyAlignment="1">
      <alignment horizontal="center" vertical="center" wrapText="1"/>
    </xf>
    <xf numFmtId="10" fontId="3" fillId="0" borderId="3" xfId="2" applyNumberFormat="1" applyFont="1" applyFill="1" applyBorder="1" applyAlignment="1">
      <alignment horizontal="center" vertical="center"/>
    </xf>
    <xf numFmtId="10" fontId="6" fillId="0" borderId="3" xfId="2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 wrapText="1"/>
    </xf>
    <xf numFmtId="10" fontId="0" fillId="0" borderId="3" xfId="1" applyNumberFormat="1" applyFont="1" applyFill="1" applyBorder="1" applyAlignment="1">
      <alignment horizontal="center" vertical="center"/>
    </xf>
    <xf numFmtId="0" fontId="0" fillId="0" borderId="3" xfId="0" applyFill="1" applyBorder="1" applyAlignment="1">
      <alignment horizontal="left" vertical="center"/>
    </xf>
    <xf numFmtId="0" fontId="11" fillId="0" borderId="3" xfId="0" applyFont="1" applyFill="1" applyBorder="1" applyAlignment="1">
      <alignment horizontal="center" vertical="center"/>
    </xf>
    <xf numFmtId="10" fontId="11" fillId="0" borderId="3" xfId="1" applyNumberFormat="1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left" vertical="center"/>
    </xf>
    <xf numFmtId="14" fontId="0" fillId="0" borderId="3" xfId="0" applyNumberForma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3" xfId="0" applyBorder="1">
      <alignment vertical="center"/>
    </xf>
    <xf numFmtId="49" fontId="11" fillId="0" borderId="0" xfId="0" applyNumberFormat="1" applyFont="1">
      <alignment vertical="center"/>
    </xf>
    <xf numFmtId="49" fontId="14" fillId="0" borderId="0" xfId="0" applyNumberFormat="1" applyFont="1">
      <alignment vertical="center"/>
    </xf>
    <xf numFmtId="0" fontId="4" fillId="0" borderId="0" xfId="0" applyFont="1" applyFill="1" applyAlignment="1">
      <alignment horizontal="lef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3" fillId="0" borderId="0" xfId="0" applyFont="1" applyAlignment="1">
      <alignment horizontal="center" vertical="center" wrapText="1"/>
    </xf>
  </cellXfs>
  <cellStyles count="3">
    <cellStyle name="一般" xfId="0" builtinId="0"/>
    <cellStyle name="一般 5" xfId="2" xr:uid="{00000000-0005-0000-0000-000001000000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876300</xdr:colOff>
          <xdr:row>10</xdr:row>
          <xdr:rowOff>9525</xdr:rowOff>
        </xdr:from>
        <xdr:to>
          <xdr:col>29</xdr:col>
          <xdr:colOff>9525</xdr:colOff>
          <xdr:row>12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回測開始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4</xdr:row>
          <xdr:rowOff>9525</xdr:rowOff>
        </xdr:from>
        <xdr:to>
          <xdr:col>29</xdr:col>
          <xdr:colOff>0</xdr:colOff>
          <xdr:row>5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新增個股資料</a:t>
              </a:r>
            </a:p>
            <a:p>
              <a:pPr algn="ctr" rtl="0">
                <a:defRPr sz="1000"/>
              </a:pPr>
              <a:endParaRPr lang="zh-TW" altLang="en-US" sz="1400" b="1" i="0" u="none" strike="noStrike" baseline="0">
                <a:solidFill>
                  <a:srgbClr val="000000"/>
                </a:solidFill>
                <a:latin typeface="標楷體"/>
                <a:ea typeface="標楷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876300</xdr:colOff>
          <xdr:row>7</xdr:row>
          <xdr:rowOff>9525</xdr:rowOff>
        </xdr:from>
        <xdr:to>
          <xdr:col>29</xdr:col>
          <xdr:colOff>9525</xdr:colOff>
          <xdr:row>9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回測格式化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13</xdr:row>
          <xdr:rowOff>9525</xdr:rowOff>
        </xdr:from>
        <xdr:to>
          <xdr:col>29</xdr:col>
          <xdr:colOff>0</xdr:colOff>
          <xdr:row>15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刪除所有個股</a:t>
              </a:r>
            </a:p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工作表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876300</xdr:colOff>
          <xdr:row>17</xdr:row>
          <xdr:rowOff>0</xdr:rowOff>
        </xdr:from>
        <xdr:to>
          <xdr:col>29</xdr:col>
          <xdr:colOff>0</xdr:colOff>
          <xdr:row>19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400" b="1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清除回測資料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4">
    <tabColor rgb="FF00B0F0"/>
    <pageSetUpPr fitToPage="1"/>
  </sheetPr>
  <dimension ref="A1:AK30"/>
  <sheetViews>
    <sheetView tabSelected="1" zoomScale="90" zoomScaleNormal="90" workbookViewId="0">
      <pane ySplit="1" topLeftCell="A2" activePane="bottomLeft" state="frozen"/>
      <selection pane="bottomLeft" activeCell="R6" sqref="R6"/>
    </sheetView>
  </sheetViews>
  <sheetFormatPr defaultColWidth="8.75" defaultRowHeight="16.5" x14ac:dyDescent="0.25"/>
  <cols>
    <col min="1" max="1" width="11.25" style="24" customWidth="1"/>
    <col min="2" max="2" width="9.875" style="24" customWidth="1"/>
    <col min="3" max="3" width="11" style="25" bestFit="1" customWidth="1"/>
    <col min="4" max="9" width="11" style="4" customWidth="1"/>
    <col min="10" max="11" width="9.875" style="4" bestFit="1" customWidth="1"/>
    <col min="12" max="13" width="11" style="4" bestFit="1" customWidth="1"/>
    <col min="14" max="14" width="10.125" style="4" customWidth="1"/>
    <col min="15" max="15" width="11.125" style="4" bestFit="1" customWidth="1"/>
    <col min="16" max="16" width="11.125" style="4" customWidth="1"/>
    <col min="17" max="17" width="8.875" style="4" bestFit="1" customWidth="1"/>
    <col min="18" max="18" width="8.25" style="4" customWidth="1"/>
    <col min="19" max="19" width="10.125" style="4" customWidth="1"/>
    <col min="20" max="20" width="9.875" style="4" customWidth="1"/>
    <col min="21" max="21" width="3.375" style="4" hidden="1" customWidth="1"/>
    <col min="22" max="22" width="4.375" style="4" hidden="1" customWidth="1"/>
    <col min="23" max="24" width="12.875" style="4" hidden="1" customWidth="1"/>
    <col min="25" max="26" width="11" style="9" hidden="1" customWidth="1"/>
    <col min="27" max="27" width="12.875" style="9" bestFit="1" customWidth="1"/>
    <col min="28" max="28" width="10.125" style="9" customWidth="1"/>
    <col min="29" max="29" width="10.375" style="9" customWidth="1"/>
    <col min="30" max="30" width="38.875" style="9" customWidth="1"/>
    <col min="31" max="31" width="8.75" style="9"/>
    <col min="32" max="32" width="14.125" style="9" customWidth="1"/>
    <col min="33" max="33" width="12.125" style="9" customWidth="1"/>
    <col min="34" max="34" width="12.875" style="9" customWidth="1"/>
    <col min="35" max="35" width="11.75" style="9" customWidth="1"/>
    <col min="36" max="16384" width="8.75" style="9"/>
  </cols>
  <sheetData>
    <row r="1" spans="1:37" s="15" customFormat="1" ht="33" x14ac:dyDescent="0.25">
      <c r="A1" s="41" t="s">
        <v>6</v>
      </c>
      <c r="B1" s="41" t="s">
        <v>5</v>
      </c>
      <c r="C1" s="42" t="s">
        <v>4</v>
      </c>
      <c r="D1" s="43" t="s">
        <v>18</v>
      </c>
      <c r="E1" s="43" t="s">
        <v>19</v>
      </c>
      <c r="F1" s="43" t="s">
        <v>20</v>
      </c>
      <c r="G1" s="43" t="s">
        <v>21</v>
      </c>
      <c r="H1" s="44" t="s">
        <v>22</v>
      </c>
      <c r="I1" s="44" t="s">
        <v>23</v>
      </c>
      <c r="J1" s="45" t="s">
        <v>3</v>
      </c>
      <c r="K1" s="45" t="s">
        <v>2</v>
      </c>
      <c r="L1" s="45" t="s">
        <v>1</v>
      </c>
      <c r="M1" s="45" t="s">
        <v>30</v>
      </c>
      <c r="N1" s="45" t="s">
        <v>31</v>
      </c>
      <c r="O1" s="45" t="s">
        <v>62</v>
      </c>
      <c r="P1" s="45" t="s">
        <v>63</v>
      </c>
      <c r="Q1" s="46" t="s">
        <v>0</v>
      </c>
      <c r="R1" s="43" t="s">
        <v>27</v>
      </c>
      <c r="S1" s="47" t="s">
        <v>36</v>
      </c>
      <c r="T1" s="47" t="s">
        <v>35</v>
      </c>
      <c r="U1" s="27"/>
      <c r="V1" s="27"/>
      <c r="W1" s="14" t="s">
        <v>33</v>
      </c>
      <c r="X1" s="14" t="s">
        <v>34</v>
      </c>
      <c r="Z1" s="14"/>
    </row>
    <row r="2" spans="1:37" s="16" customFormat="1" ht="16.350000000000001" customHeight="1" x14ac:dyDescent="0.25">
      <c r="A2" s="6">
        <v>20100311</v>
      </c>
      <c r="B2" s="6">
        <v>20100323</v>
      </c>
      <c r="C2" s="57" t="s">
        <v>311</v>
      </c>
      <c r="D2" s="39">
        <f>'20100311_2472'!D3</f>
        <v>10.59</v>
      </c>
      <c r="E2" s="39">
        <f>MIN('20100311_2472'!F4:F8)</f>
        <v>10.52</v>
      </c>
      <c r="F2" s="39">
        <f>MIN('20100311_2472'!F4:F13)</f>
        <v>10.52</v>
      </c>
      <c r="G2" s="39">
        <f>INDEX('20100311_2472'!D:D,MATCH(B2,'20100311_2472'!A:A,0))</f>
        <v>14.76</v>
      </c>
      <c r="H2" s="39">
        <f>MIN('20100311_2472'!F4:F100027)</f>
        <v>10.52</v>
      </c>
      <c r="I2" s="39">
        <f>MAX('20100311_2472'!E4:E100027)</f>
        <v>15.01</v>
      </c>
      <c r="J2" s="48">
        <f t="shared" ref="J2:J8" si="0">E2/D2-1</f>
        <v>-6.6100094428707123E-3</v>
      </c>
      <c r="K2" s="48">
        <f>'20100311_2472'!I3</f>
        <v>0.20585457979225685</v>
      </c>
      <c r="L2" s="48">
        <f t="shared" ref="L2:L8" si="1">F2/D2-1</f>
        <v>-6.6100094428707123E-3</v>
      </c>
      <c r="M2" s="48" t="str">
        <f>'20100311_2472'!I4</f>
        <v/>
      </c>
      <c r="N2" s="48" t="str">
        <f>'20100311_2472'!I5</f>
        <v/>
      </c>
      <c r="O2" s="48">
        <f t="shared" ref="O2:O8" si="2">H2/D2-1</f>
        <v>-6.6100094428707123E-3</v>
      </c>
      <c r="P2" s="48">
        <f t="shared" ref="P2:P8" si="3">I2/D2-1</f>
        <v>0.41737488196411698</v>
      </c>
      <c r="Q2" s="48">
        <f t="shared" ref="Q2:Q8" si="4">G2/D2-1</f>
        <v>0.39376770538243622</v>
      </c>
      <c r="R2" s="39">
        <f>'20100311_2472'!I2</f>
        <v>8</v>
      </c>
      <c r="S2" s="49" t="str">
        <f>'20100311_2472'!P3</f>
        <v/>
      </c>
      <c r="T2" s="49">
        <f>'20100311_2472'!U3</f>
        <v>20100318</v>
      </c>
      <c r="U2" s="6"/>
      <c r="V2" s="6"/>
      <c r="W2" s="7" t="e">
        <f>TEXT($A2,"YYYYMMDD")*1</f>
        <v>#VALUE!</v>
      </c>
      <c r="X2" s="7" t="e">
        <f>TEXT($B2,"YYYYMMDD")*1</f>
        <v>#VALUE!</v>
      </c>
      <c r="AA2" s="61" t="s">
        <v>16</v>
      </c>
      <c r="AB2" s="58" t="s">
        <v>26</v>
      </c>
      <c r="AC2" s="58"/>
      <c r="AD2" s="59" t="s">
        <v>301</v>
      </c>
      <c r="AE2" s="58" t="s">
        <v>303</v>
      </c>
      <c r="AF2" s="58"/>
      <c r="AG2" s="58"/>
      <c r="AH2" s="58"/>
      <c r="AI2" s="58"/>
      <c r="AJ2" s="58"/>
      <c r="AK2" s="58"/>
    </row>
    <row r="3" spans="1:37" s="16" customFormat="1" ht="18.95" customHeight="1" x14ac:dyDescent="0.25">
      <c r="A3" s="6">
        <v>20180326</v>
      </c>
      <c r="B3" s="6">
        <v>20180409</v>
      </c>
      <c r="C3" s="57" t="s">
        <v>310</v>
      </c>
      <c r="D3" s="39">
        <f>'20180326_1514'!D3</f>
        <v>9.69</v>
      </c>
      <c r="E3" s="39">
        <f>MIN('20180326_1514'!F4:F8)</f>
        <v>9.73</v>
      </c>
      <c r="F3" s="39">
        <f>MIN('20180326_1514'!F4:F13)</f>
        <v>9.73</v>
      </c>
      <c r="G3" s="39">
        <f>INDEX('20180326_1514'!D:D,MATCH(B3,'20180326_1514'!A:A,0))</f>
        <v>15.35</v>
      </c>
      <c r="H3" s="39">
        <f>MIN('20180326_1514'!F4:F100027)</f>
        <v>9.73</v>
      </c>
      <c r="I3" s="39">
        <f>MAX('20180326_1514'!E4:E100027)</f>
        <v>15.35</v>
      </c>
      <c r="J3" s="48">
        <f t="shared" si="0"/>
        <v>4.1279669762643856E-3</v>
      </c>
      <c r="K3" s="48">
        <f>'20180326_1514'!I3</f>
        <v>0.195046439628483</v>
      </c>
      <c r="L3" s="48">
        <f t="shared" si="1"/>
        <v>4.1279669762643856E-3</v>
      </c>
      <c r="M3" s="48" t="str">
        <f>'20180326_1514'!I4</f>
        <v/>
      </c>
      <c r="N3" s="48" t="str">
        <f>'20180326_1514'!I5</f>
        <v/>
      </c>
      <c r="O3" s="48">
        <f t="shared" si="2"/>
        <v>4.1279669762643856E-3</v>
      </c>
      <c r="P3" s="48">
        <f t="shared" si="3"/>
        <v>0.5841073271413828</v>
      </c>
      <c r="Q3" s="48">
        <f t="shared" si="4"/>
        <v>0.5841073271413828</v>
      </c>
      <c r="R3" s="39">
        <f>'20180326_1514'!I2</f>
        <v>8</v>
      </c>
      <c r="S3" s="49" t="str">
        <f>'20180326_1514'!P3</f>
        <v/>
      </c>
      <c r="T3" s="49">
        <f>'20180326_1514'!U3</f>
        <v>20180402</v>
      </c>
      <c r="U3" s="6"/>
      <c r="V3" s="6"/>
      <c r="W3" s="7" t="e">
        <f t="shared" ref="W3:W16" si="5">TEXT($A3,"YYYYMMDD")*1</f>
        <v>#VALUE!</v>
      </c>
      <c r="X3" s="7" t="e">
        <f t="shared" ref="X3:X16" si="6">TEXT($B3,"YYYYMMDD")*1</f>
        <v>#VALUE!</v>
      </c>
      <c r="AA3" s="61"/>
      <c r="AB3" s="58"/>
      <c r="AC3" s="58"/>
      <c r="AD3" s="60"/>
      <c r="AE3" s="58"/>
      <c r="AF3" s="58"/>
      <c r="AG3" s="58"/>
      <c r="AH3" s="58"/>
      <c r="AI3" s="58"/>
      <c r="AJ3" s="58"/>
      <c r="AK3" s="58"/>
    </row>
    <row r="4" spans="1:37" s="16" customFormat="1" ht="17.100000000000001" customHeight="1" x14ac:dyDescent="0.25">
      <c r="A4" s="6">
        <v>20060330</v>
      </c>
      <c r="B4" s="6">
        <v>20060523</v>
      </c>
      <c r="C4" s="57" t="s">
        <v>309</v>
      </c>
      <c r="D4" s="39">
        <f>'20060330_5488'!D3</f>
        <v>11.01</v>
      </c>
      <c r="E4" s="39">
        <f>MIN('20060330_5488'!F4:F8)</f>
        <v>10.91</v>
      </c>
      <c r="F4" s="39">
        <f>MIN('20060330_5488'!F4:F13)</f>
        <v>10.91</v>
      </c>
      <c r="G4" s="39">
        <f>INDEX('20060330_5488'!D:D,MATCH(B4,'20060330_5488'!A:A,0))</f>
        <v>17.989999999999998</v>
      </c>
      <c r="H4" s="39">
        <f>MIN('20060330_5488'!F4:F100027)</f>
        <v>10.91</v>
      </c>
      <c r="I4" s="39">
        <f>MAX('20060330_5488'!E4:E100027)</f>
        <v>18.72</v>
      </c>
      <c r="J4" s="48">
        <f t="shared" si="0"/>
        <v>-9.0826521344232747E-3</v>
      </c>
      <c r="K4" s="48">
        <f>'20060330_5488'!I3</f>
        <v>6.6303360581289716E-2</v>
      </c>
      <c r="L4" s="48">
        <f t="shared" si="1"/>
        <v>-9.0826521344232747E-3</v>
      </c>
      <c r="M4" s="48">
        <f>'20060330_5488'!I4</f>
        <v>0.21344232515894634</v>
      </c>
      <c r="N4" s="48">
        <f>'20060330_5488'!I5</f>
        <v>0.20163487738419628</v>
      </c>
      <c r="O4" s="48">
        <f t="shared" si="2"/>
        <v>-9.0826521344232747E-3</v>
      </c>
      <c r="P4" s="48">
        <f t="shared" si="3"/>
        <v>0.70027247956403271</v>
      </c>
      <c r="Q4" s="48">
        <f t="shared" si="4"/>
        <v>0.63396911898274277</v>
      </c>
      <c r="R4" s="39">
        <f>'20060330_5488'!I2</f>
        <v>36</v>
      </c>
      <c r="S4" s="49" t="str">
        <f>'20060330_5488'!P3</f>
        <v/>
      </c>
      <c r="T4" s="49">
        <f>'20060330_5488'!U3</f>
        <v>20060414</v>
      </c>
      <c r="U4" s="6"/>
      <c r="V4" s="6"/>
      <c r="W4" s="7" t="e">
        <f t="shared" si="5"/>
        <v>#VALUE!</v>
      </c>
      <c r="X4" s="7" t="e">
        <f t="shared" si="6"/>
        <v>#VALUE!</v>
      </c>
      <c r="AA4" s="18"/>
      <c r="AD4" s="60"/>
      <c r="AE4" s="58"/>
      <c r="AF4" s="58"/>
      <c r="AG4" s="58"/>
      <c r="AH4" s="58"/>
      <c r="AI4" s="58"/>
      <c r="AJ4" s="58"/>
      <c r="AK4" s="58"/>
    </row>
    <row r="5" spans="1:37" s="21" customFormat="1" ht="18.600000000000001" customHeight="1" x14ac:dyDescent="0.25">
      <c r="A5" s="6">
        <v>20060331</v>
      </c>
      <c r="B5" s="6">
        <v>20060424</v>
      </c>
      <c r="C5" s="57" t="s">
        <v>308</v>
      </c>
      <c r="D5" s="50">
        <f>'20060331_6223'!D3</f>
        <v>40.99</v>
      </c>
      <c r="E5" s="50">
        <f>MIN('20060331_6223'!F4:F8)</f>
        <v>40.409999999999997</v>
      </c>
      <c r="F5" s="50">
        <f>MIN('20060331_6223'!F4:F13)</f>
        <v>40.409999999999997</v>
      </c>
      <c r="G5" s="50">
        <f>INDEX('20060331_6223'!D:D,MATCH(B5,'20060331_6223'!A:A,0))</f>
        <v>57.28</v>
      </c>
      <c r="H5" s="50">
        <f>MIN('20060331_6223'!F4:F100027)</f>
        <v>40.409999999999997</v>
      </c>
      <c r="I5" s="50">
        <f>MAX('20060331_6223'!E4:E100027)</f>
        <v>57.28</v>
      </c>
      <c r="J5" s="51">
        <f t="shared" si="0"/>
        <v>-1.41497926323495E-2</v>
      </c>
      <c r="K5" s="51">
        <f>'20060331_6223'!I3</f>
        <v>0.10270797755550132</v>
      </c>
      <c r="L5" s="51">
        <f t="shared" si="1"/>
        <v>-1.41497926323495E-2</v>
      </c>
      <c r="M5" s="51">
        <f>'20060331_6223'!I4</f>
        <v>0.21712612832398137</v>
      </c>
      <c r="N5" s="51" t="str">
        <f>'20060331_6223'!I5</f>
        <v/>
      </c>
      <c r="O5" s="51">
        <f t="shared" si="2"/>
        <v>-1.41497926323495E-2</v>
      </c>
      <c r="P5" s="51">
        <f t="shared" si="3"/>
        <v>0.39741400341546718</v>
      </c>
      <c r="Q5" s="51">
        <f t="shared" si="4"/>
        <v>0.39741400341546718</v>
      </c>
      <c r="R5" s="50">
        <f>'20060331_6223'!I2</f>
        <v>15</v>
      </c>
      <c r="S5" s="52" t="str">
        <f>'20060331_6223'!P3</f>
        <v/>
      </c>
      <c r="T5" s="52">
        <f>'20060331_6223'!U3</f>
        <v>20060413</v>
      </c>
      <c r="U5" s="20"/>
      <c r="V5" s="20"/>
      <c r="W5" s="7" t="e">
        <f t="shared" si="5"/>
        <v>#VALUE!</v>
      </c>
      <c r="X5" s="7" t="e">
        <f t="shared" si="6"/>
        <v>#VALUE!</v>
      </c>
      <c r="AA5" s="61" t="s">
        <v>17</v>
      </c>
      <c r="AD5" s="19"/>
    </row>
    <row r="6" spans="1:37" s="16" customFormat="1" x14ac:dyDescent="0.25">
      <c r="A6" s="6">
        <v>20060317</v>
      </c>
      <c r="B6" s="6">
        <v>20060403</v>
      </c>
      <c r="C6" s="57" t="s">
        <v>312</v>
      </c>
      <c r="D6" s="39">
        <f>'20060317_8079'!D3</f>
        <v>9.68</v>
      </c>
      <c r="E6" s="39">
        <f>MIN('20060317_8079'!F4:F8)</f>
        <v>9.2899999999999991</v>
      </c>
      <c r="F6" s="39">
        <f>MIN('20060317_8079'!F4:F13)</f>
        <v>9.2899999999999991</v>
      </c>
      <c r="G6" s="39">
        <f>INDEX('20060317_8079'!D:D,MATCH(B6,'20060317_8079'!A:A,0))</f>
        <v>10.9</v>
      </c>
      <c r="H6" s="39">
        <f>MIN('20060317_8079'!F4:F100027)</f>
        <v>9.2899999999999991</v>
      </c>
      <c r="I6" s="39">
        <f>MAX('20060317_8079'!E4:E100027)</f>
        <v>11.18</v>
      </c>
      <c r="J6" s="48">
        <f t="shared" si="0"/>
        <v>-4.0289256198347112E-2</v>
      </c>
      <c r="K6" s="48">
        <f>'20060317_8079'!I3</f>
        <v>-3.0991735537189924E-2</v>
      </c>
      <c r="L6" s="48">
        <f t="shared" si="1"/>
        <v>-4.0289256198347112E-2</v>
      </c>
      <c r="M6" s="48">
        <f>'20060317_8079'!I4</f>
        <v>8.8842975206611552E-2</v>
      </c>
      <c r="N6" s="48" t="str">
        <f>'20060317_8079'!I5</f>
        <v/>
      </c>
      <c r="O6" s="48">
        <f t="shared" si="2"/>
        <v>-4.0289256198347112E-2</v>
      </c>
      <c r="P6" s="48">
        <f t="shared" si="3"/>
        <v>0.1549586776859504</v>
      </c>
      <c r="Q6" s="48">
        <f t="shared" si="4"/>
        <v>0.12603305785123964</v>
      </c>
      <c r="R6" s="39">
        <f>'20060317_8079'!I2</f>
        <v>11</v>
      </c>
      <c r="S6" s="49" t="str">
        <f>'20060317_8079'!P3</f>
        <v/>
      </c>
      <c r="T6" s="49" t="str">
        <f>'20060317_8079'!U3</f>
        <v/>
      </c>
      <c r="U6" s="6"/>
      <c r="V6" s="6"/>
      <c r="W6" s="7" t="e">
        <f>TEXT(#REF!,"YYYYMMDD")*1</f>
        <v>#REF!</v>
      </c>
      <c r="X6" s="7" t="e">
        <f>TEXT(#REF!,"YYYYMMDD")*1</f>
        <v>#REF!</v>
      </c>
      <c r="AA6" s="61"/>
    </row>
    <row r="7" spans="1:37" s="6" customFormat="1" x14ac:dyDescent="0.25">
      <c r="A7" s="6">
        <v>20100315</v>
      </c>
      <c r="B7" s="6">
        <v>20100406</v>
      </c>
      <c r="C7" s="57" t="s">
        <v>313</v>
      </c>
      <c r="D7" s="39">
        <f>'20100315_3534'!D3</f>
        <v>104.61</v>
      </c>
      <c r="E7" s="39">
        <f>MIN('20100315_3534'!F4:F8)</f>
        <v>104.61</v>
      </c>
      <c r="F7" s="39">
        <f>MIN('20100315_3534'!F4:F13)</f>
        <v>104.61</v>
      </c>
      <c r="G7" s="39">
        <f>INDEX('20100315_3534'!D:D,MATCH(B7,'20100315_3534'!A:A,0))</f>
        <v>133.06</v>
      </c>
      <c r="H7" s="39">
        <f>MIN('20100315_3534'!F4:F100027)</f>
        <v>104.61</v>
      </c>
      <c r="I7" s="39">
        <f>MAX('20100315_3534'!E4:E100027)</f>
        <v>135.35</v>
      </c>
      <c r="J7" s="48">
        <f t="shared" si="0"/>
        <v>0</v>
      </c>
      <c r="K7" s="48">
        <f>'20100315_3534'!I3</f>
        <v>3.0685402925150429E-2</v>
      </c>
      <c r="L7" s="48">
        <f t="shared" si="1"/>
        <v>0</v>
      </c>
      <c r="M7" s="48">
        <f>'20100315_3534'!I4</f>
        <v>0.11843991970174939</v>
      </c>
      <c r="N7" s="48" t="str">
        <f>'20100315_3534'!I5</f>
        <v/>
      </c>
      <c r="O7" s="48">
        <f t="shared" si="2"/>
        <v>0</v>
      </c>
      <c r="P7" s="48">
        <f t="shared" si="3"/>
        <v>0.29385336009941687</v>
      </c>
      <c r="Q7" s="48">
        <f t="shared" si="4"/>
        <v>0.27196252748303218</v>
      </c>
      <c r="R7" s="5">
        <f>'20100315_3534'!I2</f>
        <v>15</v>
      </c>
      <c r="S7" s="6" t="str">
        <f>'20100315_3534'!P3</f>
        <v/>
      </c>
      <c r="T7" s="6">
        <f>'20100315_3534'!U3</f>
        <v>20100402</v>
      </c>
      <c r="W7" s="7" t="e">
        <f>TEXT($A6,"YYYYMMDD")*1</f>
        <v>#VALUE!</v>
      </c>
      <c r="X7" s="7" t="e">
        <f>TEXT($B6,"YYYYMMDD")*1</f>
        <v>#VALUE!</v>
      </c>
      <c r="AA7" s="13"/>
    </row>
    <row r="8" spans="1:37" s="16" customFormat="1" x14ac:dyDescent="0.25">
      <c r="A8" s="6">
        <v>20180326</v>
      </c>
      <c r="B8" s="6">
        <v>20180611</v>
      </c>
      <c r="C8" s="57" t="s">
        <v>314</v>
      </c>
      <c r="D8" s="39">
        <f>'20180326_2478'!D3</f>
        <v>36.799999999999997</v>
      </c>
      <c r="E8" s="39">
        <f>MIN('20180326_2478'!F4:F8)</f>
        <v>37.090000000000003</v>
      </c>
      <c r="F8" s="39">
        <f>MIN('20180326_2478'!F4:F13)</f>
        <v>37.090000000000003</v>
      </c>
      <c r="G8" s="39">
        <f>INDEX('20180326_2478'!D:D,MATCH(B8,'20180326_2478'!A:A,0))</f>
        <v>161.55000000000001</v>
      </c>
      <c r="H8" s="39">
        <f>MIN('20180326_2478'!F4:F100027)</f>
        <v>37.090000000000003</v>
      </c>
      <c r="I8" s="39">
        <f>MAX('20180326_2478'!E4:E100027)</f>
        <v>161.55000000000001</v>
      </c>
      <c r="J8" s="48">
        <f t="shared" si="0"/>
        <v>7.8804347826089138E-3</v>
      </c>
      <c r="K8" s="48">
        <f>'20180326_2478'!I3</f>
        <v>8.9673913043478493E-2</v>
      </c>
      <c r="L8" s="48">
        <f t="shared" si="1"/>
        <v>7.8804347826089138E-3</v>
      </c>
      <c r="M8" s="48">
        <f>'20180326_2478'!I4</f>
        <v>0.40353260869565233</v>
      </c>
      <c r="N8" s="48">
        <f>'20180326_2478'!I5</f>
        <v>0.74972826086956545</v>
      </c>
      <c r="O8" s="48">
        <f t="shared" si="2"/>
        <v>7.8804347826089138E-3</v>
      </c>
      <c r="P8" s="48">
        <f t="shared" si="3"/>
        <v>3.389945652173914</v>
      </c>
      <c r="Q8" s="48">
        <f t="shared" si="4"/>
        <v>3.389945652173914</v>
      </c>
      <c r="R8" s="39">
        <f>'20180326_2478'!I2</f>
        <v>52</v>
      </c>
      <c r="S8" s="49" t="str">
        <f>'20180326_2478'!P3</f>
        <v/>
      </c>
      <c r="T8" s="49">
        <f>'20180326_2478'!U3</f>
        <v>20180403</v>
      </c>
      <c r="U8" s="6"/>
      <c r="V8" s="6"/>
      <c r="W8" s="7" t="e">
        <f>TEXT(#REF!,"YYYYMMDD")*1</f>
        <v>#REF!</v>
      </c>
      <c r="X8" s="7" t="e">
        <f>TEXT(#REF!,"YYYYMMDD")*1</f>
        <v>#REF!</v>
      </c>
      <c r="AA8" s="61" t="s">
        <v>25</v>
      </c>
    </row>
    <row r="9" spans="1:37" s="16" customFormat="1" x14ac:dyDescent="0.25">
      <c r="A9" s="6"/>
      <c r="B9" s="6"/>
      <c r="C9" s="57"/>
      <c r="D9" s="5"/>
      <c r="E9" s="5"/>
      <c r="F9" s="5"/>
      <c r="G9" s="5"/>
      <c r="H9" s="5"/>
      <c r="I9" s="5"/>
      <c r="J9" s="8"/>
      <c r="K9" s="8"/>
      <c r="L9" s="8"/>
      <c r="M9" s="8"/>
      <c r="N9" s="8"/>
      <c r="O9" s="8"/>
      <c r="P9" s="8"/>
      <c r="Q9" s="8"/>
      <c r="R9" s="5"/>
      <c r="S9" s="6"/>
      <c r="T9" s="6"/>
      <c r="U9" s="6"/>
      <c r="V9" s="6"/>
      <c r="W9" s="7">
        <f t="shared" si="5"/>
        <v>19000100</v>
      </c>
      <c r="X9" s="7">
        <f t="shared" si="6"/>
        <v>19000100</v>
      </c>
      <c r="AA9" s="61"/>
    </row>
    <row r="10" spans="1:37" s="16" customFormat="1" x14ac:dyDescent="0.25">
      <c r="A10" s="6"/>
      <c r="B10" s="6"/>
      <c r="C10" s="57"/>
      <c r="D10" s="5"/>
      <c r="E10" s="54"/>
      <c r="F10" s="5"/>
      <c r="G10" s="5"/>
      <c r="H10" s="5"/>
      <c r="I10" s="5"/>
      <c r="J10" s="8"/>
      <c r="K10" s="8"/>
      <c r="L10" s="8"/>
      <c r="M10" s="8"/>
      <c r="N10" s="8"/>
      <c r="O10" s="8"/>
      <c r="P10" s="8"/>
      <c r="Q10" s="8"/>
      <c r="R10" s="5"/>
      <c r="S10" s="6"/>
      <c r="T10" s="6"/>
      <c r="U10" s="6"/>
      <c r="V10" s="6"/>
      <c r="W10" s="7">
        <f t="shared" si="5"/>
        <v>19000100</v>
      </c>
      <c r="X10" s="7">
        <f t="shared" si="6"/>
        <v>19000100</v>
      </c>
      <c r="AA10" s="17"/>
    </row>
    <row r="11" spans="1:37" s="16" customFormat="1" ht="17.100000000000001" customHeight="1" x14ac:dyDescent="0.25">
      <c r="A11" s="6"/>
      <c r="B11" s="6"/>
      <c r="C11" s="56"/>
      <c r="D11" s="5"/>
      <c r="E11" s="5"/>
      <c r="F11" s="5"/>
      <c r="G11" s="5"/>
      <c r="H11" s="5"/>
      <c r="I11" s="5"/>
      <c r="J11" s="8"/>
      <c r="K11" s="8"/>
      <c r="L11" s="8"/>
      <c r="M11" s="8"/>
      <c r="N11" s="8"/>
      <c r="O11" s="8"/>
      <c r="P11" s="8"/>
      <c r="Q11" s="8"/>
      <c r="R11" s="5"/>
      <c r="S11" s="6"/>
      <c r="T11" s="6"/>
      <c r="U11" s="6"/>
      <c r="V11" s="6"/>
      <c r="W11" s="7">
        <f t="shared" si="5"/>
        <v>19000100</v>
      </c>
      <c r="X11" s="7">
        <f t="shared" si="6"/>
        <v>19000100</v>
      </c>
      <c r="AA11" s="61" t="s">
        <v>299</v>
      </c>
      <c r="AD11" s="62" t="s">
        <v>300</v>
      </c>
      <c r="AE11" s="58" t="s">
        <v>302</v>
      </c>
      <c r="AF11" s="58"/>
      <c r="AG11" s="58"/>
      <c r="AH11" s="58"/>
      <c r="AI11" s="58"/>
      <c r="AJ11" s="58"/>
      <c r="AK11" s="58"/>
    </row>
    <row r="12" spans="1:37" s="6" customFormat="1" ht="17.100000000000001" customHeight="1" x14ac:dyDescent="0.25">
      <c r="C12" s="55"/>
      <c r="D12" s="5"/>
      <c r="E12" s="5"/>
      <c r="F12" s="5"/>
      <c r="G12" s="5"/>
      <c r="H12" s="5"/>
      <c r="I12" s="5"/>
      <c r="J12" s="8"/>
      <c r="K12" s="8"/>
      <c r="L12" s="8"/>
      <c r="M12" s="8"/>
      <c r="N12" s="8"/>
      <c r="O12" s="8"/>
      <c r="P12" s="8"/>
      <c r="Q12" s="8"/>
      <c r="R12" s="5"/>
      <c r="W12" s="7">
        <f t="shared" si="5"/>
        <v>19000100</v>
      </c>
      <c r="X12" s="7">
        <f t="shared" si="6"/>
        <v>19000100</v>
      </c>
      <c r="AA12" s="61"/>
      <c r="AD12" s="62"/>
      <c r="AE12" s="58"/>
      <c r="AF12" s="58"/>
      <c r="AG12" s="58"/>
      <c r="AH12" s="58"/>
      <c r="AI12" s="58"/>
      <c r="AJ12" s="58"/>
      <c r="AK12" s="58"/>
    </row>
    <row r="13" spans="1:37" x14ac:dyDescent="0.25">
      <c r="A13" s="6"/>
      <c r="B13" s="6"/>
      <c r="C13" s="55"/>
      <c r="D13" s="5"/>
      <c r="E13" s="5"/>
      <c r="F13" s="5"/>
      <c r="G13" s="5"/>
      <c r="H13" s="5"/>
      <c r="I13" s="5"/>
      <c r="J13" s="8"/>
      <c r="K13" s="8"/>
      <c r="L13" s="8"/>
      <c r="M13" s="8"/>
      <c r="N13" s="8"/>
      <c r="O13" s="8"/>
      <c r="P13" s="8"/>
      <c r="Q13" s="8"/>
      <c r="R13" s="5"/>
      <c r="S13" s="5"/>
      <c r="T13" s="5"/>
      <c r="U13" s="5"/>
      <c r="V13" s="5"/>
      <c r="W13" s="7">
        <f t="shared" si="5"/>
        <v>19000100</v>
      </c>
      <c r="X13" s="7">
        <f t="shared" si="6"/>
        <v>19000100</v>
      </c>
      <c r="Y13" s="12"/>
      <c r="AA13" s="10"/>
      <c r="AD13" s="62"/>
      <c r="AE13" s="58"/>
      <c r="AF13" s="58"/>
      <c r="AG13" s="58"/>
      <c r="AH13" s="58"/>
      <c r="AI13" s="58"/>
      <c r="AJ13" s="58"/>
      <c r="AK13" s="58"/>
    </row>
    <row r="14" spans="1:37" x14ac:dyDescent="0.25">
      <c r="A14" s="6"/>
      <c r="B14" s="6"/>
      <c r="C14" s="55"/>
      <c r="D14" s="5"/>
      <c r="E14" s="5"/>
      <c r="F14" s="5"/>
      <c r="G14" s="5"/>
      <c r="H14" s="5"/>
      <c r="I14" s="5"/>
      <c r="J14" s="8"/>
      <c r="K14" s="8"/>
      <c r="L14" s="8"/>
      <c r="M14" s="8"/>
      <c r="N14" s="8"/>
      <c r="O14" s="8"/>
      <c r="P14" s="8"/>
      <c r="Q14" s="8"/>
      <c r="R14" s="5"/>
      <c r="S14" s="5"/>
      <c r="T14" s="5"/>
      <c r="U14" s="5"/>
      <c r="V14" s="5"/>
      <c r="W14" s="7">
        <f t="shared" si="5"/>
        <v>19000100</v>
      </c>
      <c r="X14" s="7">
        <f t="shared" si="6"/>
        <v>19000100</v>
      </c>
      <c r="Y14" s="7"/>
      <c r="AA14" s="61" t="s">
        <v>297</v>
      </c>
      <c r="AE14" s="16"/>
      <c r="AF14" s="16"/>
      <c r="AG14" s="16"/>
      <c r="AH14" s="16"/>
      <c r="AI14" s="16"/>
    </row>
    <row r="15" spans="1:37" x14ac:dyDescent="0.25">
      <c r="A15" s="6"/>
      <c r="B15" s="6"/>
      <c r="C15" s="55"/>
      <c r="D15" s="5"/>
      <c r="E15" s="5"/>
      <c r="F15" s="5"/>
      <c r="G15" s="5"/>
      <c r="H15" s="5"/>
      <c r="I15" s="5"/>
      <c r="J15" s="8"/>
      <c r="K15" s="8"/>
      <c r="L15" s="8"/>
      <c r="M15" s="8"/>
      <c r="N15" s="8"/>
      <c r="O15" s="8"/>
      <c r="P15" s="8"/>
      <c r="Q15" s="8"/>
      <c r="R15" s="5"/>
      <c r="S15" s="5"/>
      <c r="T15" s="5"/>
      <c r="U15" s="5"/>
      <c r="V15" s="5"/>
      <c r="W15" s="7">
        <f t="shared" si="5"/>
        <v>19000100</v>
      </c>
      <c r="X15" s="7">
        <f t="shared" si="6"/>
        <v>19000100</v>
      </c>
      <c r="Y15" s="7"/>
      <c r="AA15" s="61"/>
    </row>
    <row r="16" spans="1:37" x14ac:dyDescent="0.25">
      <c r="D16" s="5"/>
      <c r="E16" s="5"/>
      <c r="F16" s="5"/>
      <c r="G16" s="5"/>
      <c r="H16" s="5"/>
      <c r="I16" s="5"/>
      <c r="J16" s="8"/>
      <c r="K16" s="8"/>
      <c r="L16" s="8"/>
      <c r="M16" s="8"/>
      <c r="N16" s="8"/>
      <c r="O16" s="8"/>
      <c r="P16" s="8"/>
      <c r="Q16" s="8"/>
      <c r="R16" s="5"/>
      <c r="S16" s="5"/>
      <c r="T16" s="5"/>
      <c r="U16" s="5"/>
      <c r="V16" s="5"/>
      <c r="W16" s="7">
        <f t="shared" si="5"/>
        <v>19000100</v>
      </c>
      <c r="X16" s="7">
        <f t="shared" si="6"/>
        <v>19000100</v>
      </c>
      <c r="Y16" s="7"/>
      <c r="AA16" s="61"/>
    </row>
    <row r="17" spans="1:30" x14ac:dyDescent="0.25">
      <c r="A17" s="40"/>
      <c r="B17" s="40"/>
      <c r="C17" s="5"/>
      <c r="D17" s="5"/>
      <c r="E17" s="5"/>
      <c r="F17" s="5"/>
      <c r="G17" s="5"/>
      <c r="H17" s="5"/>
      <c r="I17" s="5"/>
      <c r="J17" s="8"/>
      <c r="K17" s="8"/>
      <c r="L17" s="8"/>
      <c r="M17" s="8"/>
      <c r="N17" s="8"/>
      <c r="O17" s="8"/>
      <c r="P17" s="8"/>
      <c r="Q17" s="8"/>
      <c r="R17" s="5"/>
      <c r="S17" s="5"/>
      <c r="T17" s="5"/>
      <c r="U17" s="5"/>
      <c r="V17" s="5"/>
      <c r="W17" s="5"/>
      <c r="X17" s="5"/>
      <c r="Y17" s="7"/>
    </row>
    <row r="18" spans="1:30" s="4" customFormat="1" x14ac:dyDescent="0.25">
      <c r="A18" s="23"/>
      <c r="B18" s="23"/>
      <c r="C18" s="22"/>
      <c r="J18" s="11"/>
      <c r="K18" s="11"/>
      <c r="L18" s="11"/>
      <c r="M18" s="11"/>
      <c r="N18" s="11"/>
      <c r="O18" s="11"/>
      <c r="P18" s="11"/>
      <c r="Q18" s="11"/>
      <c r="Y18" s="7"/>
    </row>
    <row r="19" spans="1:30" x14ac:dyDescent="0.25">
      <c r="J19" s="11"/>
      <c r="K19" s="11"/>
      <c r="L19" s="11"/>
      <c r="M19" s="11"/>
      <c r="N19" s="11"/>
      <c r="O19" s="11"/>
      <c r="P19" s="11"/>
      <c r="Q19" s="11"/>
    </row>
    <row r="20" spans="1:30" x14ac:dyDescent="0.25">
      <c r="J20" s="11"/>
      <c r="K20" s="11"/>
      <c r="L20" s="11"/>
      <c r="M20" s="11"/>
      <c r="N20" s="11"/>
      <c r="O20" s="11"/>
      <c r="P20" s="11"/>
      <c r="Q20" s="11"/>
    </row>
    <row r="21" spans="1:30" ht="17.100000000000001" customHeight="1" x14ac:dyDescent="0.25">
      <c r="J21" s="11"/>
      <c r="K21" s="11"/>
      <c r="L21" s="11"/>
      <c r="M21" s="11"/>
      <c r="N21" s="11"/>
      <c r="O21" s="11"/>
      <c r="P21" s="11"/>
      <c r="Q21" s="11"/>
      <c r="AA21" s="61"/>
      <c r="AB21" s="58"/>
      <c r="AC21" s="58"/>
      <c r="AD21" s="58"/>
    </row>
    <row r="22" spans="1:30" ht="32.1" customHeight="1" x14ac:dyDescent="0.25">
      <c r="J22" s="11"/>
      <c r="K22" s="11"/>
      <c r="L22" s="11"/>
      <c r="M22" s="11"/>
      <c r="N22" s="11"/>
      <c r="O22" s="11"/>
      <c r="P22" s="11"/>
      <c r="Q22" s="11"/>
      <c r="AA22" s="61"/>
      <c r="AB22" s="58"/>
      <c r="AC22" s="58"/>
      <c r="AD22" s="58"/>
    </row>
    <row r="23" spans="1:30" ht="17.100000000000001" customHeight="1" x14ac:dyDescent="0.25">
      <c r="J23" s="11"/>
      <c r="K23" s="11"/>
      <c r="L23" s="11"/>
      <c r="M23" s="11"/>
      <c r="N23" s="11"/>
      <c r="O23" s="11"/>
      <c r="P23" s="11"/>
      <c r="Q23" s="11"/>
      <c r="AB23" s="58"/>
      <c r="AC23" s="58"/>
      <c r="AD23" s="58"/>
    </row>
    <row r="24" spans="1:30" x14ac:dyDescent="0.25">
      <c r="J24" s="11"/>
      <c r="K24" s="11"/>
      <c r="L24" s="11"/>
      <c r="M24" s="11"/>
      <c r="N24" s="11"/>
      <c r="O24" s="11"/>
      <c r="P24" s="11"/>
      <c r="Q24" s="11"/>
    </row>
    <row r="25" spans="1:30" x14ac:dyDescent="0.25">
      <c r="J25" s="11"/>
      <c r="K25" s="11"/>
      <c r="L25" s="11"/>
      <c r="M25" s="11"/>
      <c r="N25" s="11"/>
      <c r="O25" s="11"/>
      <c r="P25" s="11"/>
      <c r="Q25" s="11"/>
    </row>
    <row r="26" spans="1:30" x14ac:dyDescent="0.25">
      <c r="J26" s="11"/>
      <c r="K26" s="11"/>
      <c r="L26" s="11"/>
      <c r="M26" s="11"/>
      <c r="N26" s="11"/>
      <c r="O26" s="11"/>
      <c r="P26" s="11"/>
      <c r="Q26" s="11"/>
      <c r="U26" s="39"/>
      <c r="V26" s="53"/>
      <c r="W26" s="53"/>
      <c r="X26" s="39"/>
      <c r="Y26" s="53"/>
    </row>
    <row r="27" spans="1:30" x14ac:dyDescent="0.25">
      <c r="J27" s="11"/>
      <c r="K27" s="11"/>
      <c r="L27" s="11"/>
      <c r="M27" s="11"/>
      <c r="N27" s="11"/>
      <c r="O27" s="11"/>
      <c r="P27" s="11"/>
      <c r="Q27" s="11"/>
      <c r="U27" s="39"/>
      <c r="V27" s="53"/>
      <c r="W27" s="53"/>
      <c r="X27" s="39"/>
      <c r="Y27" s="53"/>
    </row>
    <row r="28" spans="1:30" x14ac:dyDescent="0.25">
      <c r="J28" s="11"/>
      <c r="K28" s="11"/>
      <c r="L28" s="11"/>
      <c r="M28" s="11"/>
      <c r="N28" s="11"/>
      <c r="O28" s="11"/>
      <c r="P28" s="11"/>
      <c r="Q28" s="11"/>
      <c r="U28" s="39"/>
      <c r="V28" s="53"/>
      <c r="W28" s="53"/>
      <c r="X28" s="39"/>
      <c r="Y28" s="53"/>
    </row>
    <row r="29" spans="1:30" s="4" customFormat="1" x14ac:dyDescent="0.25">
      <c r="A29" s="25"/>
      <c r="B29" s="25"/>
      <c r="C29" s="25"/>
      <c r="J29" s="11"/>
      <c r="K29" s="11"/>
      <c r="L29" s="11"/>
      <c r="M29" s="11"/>
      <c r="N29" s="11"/>
      <c r="O29" s="11"/>
      <c r="P29" s="11"/>
      <c r="Q29" s="11"/>
      <c r="U29" s="39"/>
      <c r="V29" s="53"/>
      <c r="W29" s="53"/>
      <c r="X29" s="39"/>
      <c r="Y29" s="53"/>
    </row>
    <row r="30" spans="1:30" x14ac:dyDescent="0.25">
      <c r="U30" s="39"/>
      <c r="V30" s="53"/>
      <c r="W30" s="53"/>
      <c r="X30" s="39"/>
      <c r="Y30" s="53"/>
    </row>
  </sheetData>
  <mergeCells count="12">
    <mergeCell ref="AE2:AK4"/>
    <mergeCell ref="AD2:AD4"/>
    <mergeCell ref="AE11:AK13"/>
    <mergeCell ref="AA21:AA22"/>
    <mergeCell ref="AA14:AA16"/>
    <mergeCell ref="AA2:AA3"/>
    <mergeCell ref="AB2:AC3"/>
    <mergeCell ref="AA5:AA6"/>
    <mergeCell ref="AA8:AA9"/>
    <mergeCell ref="AA11:AA12"/>
    <mergeCell ref="AB21:AD23"/>
    <mergeCell ref="AD11:AD13"/>
  </mergeCells>
  <phoneticPr fontId="2" type="noConversion"/>
  <pageMargins left="0.7" right="0.7" top="0.75" bottom="0.75" header="0.3" footer="0.3"/>
  <pageSetup paperSize="9"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更新所有工作表">
                <anchor moveWithCells="1" sizeWithCells="1">
                  <from>
                    <xdr:col>26</xdr:col>
                    <xdr:colOff>876300</xdr:colOff>
                    <xdr:row>10</xdr:row>
                    <xdr:rowOff>9525</xdr:rowOff>
                  </from>
                  <to>
                    <xdr:col>29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新增個股資料">
                <anchor moveWithCells="1" sizeWithCells="1">
                  <from>
                    <xdr:col>27</xdr:col>
                    <xdr:colOff>0</xdr:colOff>
                    <xdr:row>4</xdr:row>
                    <xdr:rowOff>9525</xdr:rowOff>
                  </from>
                  <to>
                    <xdr:col>29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回測格式化">
                <anchor moveWithCells="1" sizeWithCells="1">
                  <from>
                    <xdr:col>26</xdr:col>
                    <xdr:colOff>876300</xdr:colOff>
                    <xdr:row>7</xdr:row>
                    <xdr:rowOff>9525</xdr:rowOff>
                  </from>
                  <to>
                    <xdr:col>29</xdr:col>
                    <xdr:colOff>9525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刪除個股工作表">
                <anchor moveWithCells="1" sizeWithCells="1">
                  <from>
                    <xdr:col>27</xdr:col>
                    <xdr:colOff>0</xdr:colOff>
                    <xdr:row>13</xdr:row>
                    <xdr:rowOff>9525</xdr:rowOff>
                  </from>
                  <to>
                    <xdr:col>29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清除回測資料">
                <anchor moveWithCells="1" sizeWithCells="1">
                  <from>
                    <xdr:col>26</xdr:col>
                    <xdr:colOff>876300</xdr:colOff>
                    <xdr:row>17</xdr:row>
                    <xdr:rowOff>0</xdr:rowOff>
                  </from>
                  <to>
                    <xdr:col>29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5">
    <tabColor rgb="FFFFFF00"/>
  </sheetPr>
  <dimension ref="A1:AA253"/>
  <sheetViews>
    <sheetView zoomScale="70" zoomScaleNormal="70" workbookViewId="0">
      <selection activeCell="A2" sqref="A2"/>
    </sheetView>
  </sheetViews>
  <sheetFormatPr defaultRowHeight="16.5" x14ac:dyDescent="0.25"/>
  <cols>
    <col min="1" max="1" width="11.125" customWidth="1"/>
    <col min="2" max="2" width="11" customWidth="1"/>
    <col min="3" max="3" width="10.375" customWidth="1"/>
    <col min="8" max="8" width="10.5" bestFit="1" customWidth="1"/>
    <col min="11" max="12" width="14.875" customWidth="1"/>
    <col min="13" max="13" width="15.625" customWidth="1"/>
    <col min="14" max="14" width="9.25" bestFit="1" customWidth="1"/>
    <col min="15" max="15" width="15.5" customWidth="1"/>
    <col min="16" max="16" width="15.125" customWidth="1"/>
    <col min="17" max="17" width="14.625" customWidth="1"/>
    <col min="18" max="18" width="14.875" customWidth="1"/>
    <col min="19" max="19" width="15" customWidth="1"/>
    <col min="20" max="20" width="17" customWidth="1"/>
    <col min="21" max="21" width="14.125" customWidth="1"/>
    <col min="22" max="22" width="9.625" style="9" customWidth="1"/>
    <col min="23" max="23" width="12.875" customWidth="1"/>
    <col min="24" max="24" width="13.5" customWidth="1"/>
    <col min="25" max="25" width="16.875" customWidth="1"/>
    <col min="26" max="26" width="19.625" customWidth="1"/>
  </cols>
  <sheetData>
    <row r="1" spans="1:27" x14ac:dyDescent="0.25">
      <c r="A1" s="2" t="e">
        <f>"cmoneylookup|"&amp;B1&amp;回測表!B3&amp;C1&amp;回測表!B4&amp;D1&amp;回測表!#REF!&amp;E1</f>
        <v>#REF!</v>
      </c>
      <c r="B1" s="2" t="s">
        <v>64</v>
      </c>
      <c r="C1" s="2" t="s">
        <v>7</v>
      </c>
      <c r="D1" s="2" t="s">
        <v>8</v>
      </c>
      <c r="E1" s="2" t="s">
        <v>24</v>
      </c>
      <c r="F1" s="2"/>
    </row>
    <row r="2" spans="1:27" x14ac:dyDescent="0.25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6" t="s">
        <v>14</v>
      </c>
      <c r="H2" s="3" t="s">
        <v>28</v>
      </c>
      <c r="I2" s="28">
        <f>COUNTA(A:A)-3</f>
        <v>24</v>
      </c>
      <c r="M2" t="s">
        <v>294</v>
      </c>
      <c r="N2" s="30">
        <f>MIN($N$4:$N$4000)</f>
        <v>2.8020409928219303E-2</v>
      </c>
      <c r="O2" s="37" t="s">
        <v>307</v>
      </c>
      <c r="P2" s="38">
        <v>1</v>
      </c>
      <c r="R2" t="s">
        <v>296</v>
      </c>
      <c r="S2" s="30">
        <f>MAX($S$4:$S$4000)</f>
        <v>0.3147107152123152</v>
      </c>
      <c r="T2" s="37" t="s">
        <v>298</v>
      </c>
      <c r="U2" s="25">
        <v>1</v>
      </c>
      <c r="V2" s="4"/>
    </row>
    <row r="3" spans="1:27" ht="17.100000000000001" customHeight="1" x14ac:dyDescent="0.25">
      <c r="A3" s="26">
        <v>19980122</v>
      </c>
      <c r="B3" s="26">
        <v>2329</v>
      </c>
      <c r="C3" s="26" t="s">
        <v>15</v>
      </c>
      <c r="D3" s="26">
        <v>115.63</v>
      </c>
      <c r="E3" s="26">
        <v>116.44</v>
      </c>
      <c r="F3" s="26">
        <v>111.59</v>
      </c>
      <c r="H3" s="3" t="s">
        <v>38</v>
      </c>
      <c r="I3" s="29">
        <f>IF($I$2&lt;5,"",D8/D3-1)</f>
        <v>5.5954337109746621E-2</v>
      </c>
      <c r="M3" t="s">
        <v>293</v>
      </c>
      <c r="N3">
        <f>IF(ISERROR(INDEX($A$4:$A$4000,MATCH($N$2,$N$4:$N$4000,0))),"",INDEX($A$4:$A$4000,MATCH($N$2,$N$4:$N$4000,0)))</f>
        <v>19980203</v>
      </c>
      <c r="O3" t="s">
        <v>293</v>
      </c>
      <c r="P3" s="25" t="str">
        <f>IF(ISERROR(INDEX($A$4:$A$4000,MATCH($P$2,$P$4:$P$4000,0))),"",INDEX($A$4:$A$4000,MATCH($P$2,$P$4:$P$4000,0)))</f>
        <v/>
      </c>
      <c r="R3" t="s">
        <v>293</v>
      </c>
      <c r="S3">
        <f>IF(ISERROR(INDEX($A$4:$A$4000,MATCH($S$2,$S$4:$S$4000,0))),"",INDEX($A$4:$A$4000,MATCH($S$2,$S$4:$S$4000,0)))</f>
        <v>19980219</v>
      </c>
      <c r="T3" t="s">
        <v>293</v>
      </c>
      <c r="U3" s="25">
        <f>IF(ISERROR(INDEX($A$4:$A$4000,MATCH($U$2,$U$4:$U$4000,0))),"",INDEX($A$4:$A$4000,MATCH($U$2,$U$4:$U$4000,0)))</f>
        <v>19980212</v>
      </c>
      <c r="V3" s="4"/>
      <c r="W3" s="61"/>
    </row>
    <row r="4" spans="1:27" ht="17.100000000000001" customHeight="1" x14ac:dyDescent="0.25">
      <c r="A4" s="26">
        <v>19980202</v>
      </c>
      <c r="B4" s="26">
        <v>2329</v>
      </c>
      <c r="C4" s="26" t="s">
        <v>15</v>
      </c>
      <c r="D4" s="26">
        <v>119.68</v>
      </c>
      <c r="E4" s="26">
        <v>123.72</v>
      </c>
      <c r="F4" s="26">
        <v>119.68</v>
      </c>
      <c r="H4" s="3" t="s">
        <v>29</v>
      </c>
      <c r="I4" s="29">
        <f>IF($I$2&lt;10,"",D13/D3-1)</f>
        <v>0.20280204099282217</v>
      </c>
      <c r="K4" t="s">
        <v>65</v>
      </c>
      <c r="L4" s="26">
        <v>1</v>
      </c>
      <c r="M4" t="s">
        <v>39</v>
      </c>
      <c r="N4" s="1">
        <f>IF(L4&gt;$I$2,"",F4/$D$3-1)</f>
        <v>3.5025512410274295E-2</v>
      </c>
      <c r="O4" s="31"/>
      <c r="P4" s="34" t="str">
        <f>IF(AND(L4&lt;=$I$2,N4&lt;= -0.1),1,"")</f>
        <v/>
      </c>
      <c r="Q4" t="s">
        <v>295</v>
      </c>
      <c r="R4" t="s">
        <v>39</v>
      </c>
      <c r="S4" s="1">
        <f>IF(L4&gt;$I$2,"",E4/$D$3-1)</f>
        <v>6.9964542073856384E-2</v>
      </c>
      <c r="T4" s="1"/>
      <c r="U4" s="35" t="str">
        <f>IF(AND(L4&lt;=$I$2,S4&gt;=0.2),1,"")</f>
        <v/>
      </c>
      <c r="V4" s="32"/>
      <c r="W4" s="61"/>
    </row>
    <row r="5" spans="1:27" x14ac:dyDescent="0.25">
      <c r="A5" s="26">
        <v>19980203</v>
      </c>
      <c r="B5" s="26">
        <v>2329</v>
      </c>
      <c r="C5" s="26" t="s">
        <v>15</v>
      </c>
      <c r="D5" s="26">
        <v>127.76</v>
      </c>
      <c r="E5" s="26">
        <v>127.76</v>
      </c>
      <c r="F5" s="26">
        <v>118.87</v>
      </c>
      <c r="H5" s="3" t="s">
        <v>32</v>
      </c>
      <c r="I5" s="29">
        <f>IF($I$2&lt;20,"",D23/D3-1)</f>
        <v>0.16786301132923986</v>
      </c>
      <c r="L5" s="26">
        <v>2</v>
      </c>
      <c r="M5" t="s">
        <v>40</v>
      </c>
      <c r="N5" s="1">
        <f t="shared" ref="N5:N68" si="0">IF(L5&gt;$I$2,"",F5/$D$3-1)</f>
        <v>2.8020409928219303E-2</v>
      </c>
      <c r="O5" s="31"/>
      <c r="P5" s="34" t="str">
        <f t="shared" ref="P5:P68" si="1">IF(AND(L5&lt;=$I$2,N5&lt;= -0.1),1,"")</f>
        <v/>
      </c>
      <c r="R5" t="s">
        <v>40</v>
      </c>
      <c r="S5" s="1">
        <f>IF(L5&gt;$I$2,"",E5/$D$3-1)</f>
        <v>0.10490357173743847</v>
      </c>
      <c r="T5" s="1"/>
      <c r="U5" s="35" t="str">
        <f t="shared" ref="U5:U68" si="2">IF(AND(L5&lt;=$I$2,S5&gt;=0.2),1,"")</f>
        <v/>
      </c>
      <c r="V5" s="32"/>
      <c r="W5" s="64" t="s">
        <v>304</v>
      </c>
      <c r="X5" s="63" t="s">
        <v>306</v>
      </c>
      <c r="Y5" s="63"/>
      <c r="Z5" s="63"/>
      <c r="AA5" s="3"/>
    </row>
    <row r="6" spans="1:27" x14ac:dyDescent="0.25">
      <c r="A6" s="26">
        <v>19980204</v>
      </c>
      <c r="B6" s="26">
        <v>2329</v>
      </c>
      <c r="C6" s="26" t="s">
        <v>15</v>
      </c>
      <c r="D6" s="26">
        <v>127.76</v>
      </c>
      <c r="E6" s="26">
        <v>130.19</v>
      </c>
      <c r="F6" s="26">
        <v>124.53</v>
      </c>
      <c r="L6" s="26">
        <v>3</v>
      </c>
      <c r="M6" t="s">
        <v>41</v>
      </c>
      <c r="N6" s="1">
        <f t="shared" si="0"/>
        <v>7.6969644555911154E-2</v>
      </c>
      <c r="O6" s="31"/>
      <c r="P6" s="34" t="str">
        <f t="shared" si="1"/>
        <v/>
      </c>
      <c r="R6" t="s">
        <v>41</v>
      </c>
      <c r="S6" s="1">
        <f>IF(L6&gt;$I$2,"",E6/$D$3-1)</f>
        <v>0.12591887918360301</v>
      </c>
      <c r="T6" s="1"/>
      <c r="U6" s="35" t="str">
        <f t="shared" si="2"/>
        <v/>
      </c>
      <c r="V6" s="32"/>
      <c r="W6" s="64"/>
      <c r="X6" s="63"/>
      <c r="Y6" s="63"/>
      <c r="Z6" s="63"/>
      <c r="AA6" s="3"/>
    </row>
    <row r="7" spans="1:27" x14ac:dyDescent="0.25">
      <c r="A7" s="26">
        <v>19980205</v>
      </c>
      <c r="B7" s="26">
        <v>2329</v>
      </c>
      <c r="C7" s="26" t="s">
        <v>15</v>
      </c>
      <c r="D7" s="26">
        <v>129.38</v>
      </c>
      <c r="E7" s="26">
        <v>133.41999999999999</v>
      </c>
      <c r="F7" s="26">
        <v>126.15</v>
      </c>
      <c r="L7" s="26">
        <v>4</v>
      </c>
      <c r="M7" t="s">
        <v>42</v>
      </c>
      <c r="N7" s="1">
        <f t="shared" si="0"/>
        <v>9.0979849520020917E-2</v>
      </c>
      <c r="O7" s="31"/>
      <c r="P7" s="34" t="str">
        <f t="shared" si="1"/>
        <v/>
      </c>
      <c r="R7" t="s">
        <v>42</v>
      </c>
      <c r="S7" s="1">
        <f t="shared" ref="S7:S11" si="3">IF(L7&gt;$I$2,"",E7/$D$3-1)</f>
        <v>0.1538528063651301</v>
      </c>
      <c r="T7" s="1"/>
      <c r="U7" s="35" t="str">
        <f t="shared" si="2"/>
        <v/>
      </c>
      <c r="V7" s="32"/>
      <c r="W7" s="36"/>
      <c r="X7" s="36" t="s">
        <v>305</v>
      </c>
      <c r="Y7" s="36"/>
      <c r="Z7" s="36"/>
      <c r="AA7" s="3"/>
    </row>
    <row r="8" spans="1:27" x14ac:dyDescent="0.25">
      <c r="A8" s="26">
        <v>19980206</v>
      </c>
      <c r="B8" s="26">
        <v>2329</v>
      </c>
      <c r="C8" s="26" t="s">
        <v>15</v>
      </c>
      <c r="D8" s="26">
        <v>122.1</v>
      </c>
      <c r="E8" s="26">
        <v>128.57</v>
      </c>
      <c r="F8" s="26">
        <v>120.49</v>
      </c>
      <c r="L8" s="26">
        <v>5</v>
      </c>
      <c r="M8" t="s">
        <v>37</v>
      </c>
      <c r="N8" s="1">
        <f t="shared" si="0"/>
        <v>4.2030614892329066E-2</v>
      </c>
      <c r="O8" s="31"/>
      <c r="P8" s="34" t="str">
        <f t="shared" si="1"/>
        <v/>
      </c>
      <c r="R8" t="s">
        <v>37</v>
      </c>
      <c r="S8" s="1">
        <f t="shared" si="3"/>
        <v>0.11190867421949324</v>
      </c>
      <c r="T8" s="1"/>
      <c r="U8" s="35" t="str">
        <f t="shared" si="2"/>
        <v/>
      </c>
      <c r="V8" s="32"/>
      <c r="W8" s="36"/>
      <c r="X8" s="36"/>
      <c r="Y8" s="36"/>
      <c r="Z8" s="36"/>
    </row>
    <row r="9" spans="1:27" x14ac:dyDescent="0.25">
      <c r="A9" s="26">
        <v>19980207</v>
      </c>
      <c r="B9" s="26">
        <v>2329</v>
      </c>
      <c r="C9" s="26" t="s">
        <v>15</v>
      </c>
      <c r="D9" s="26">
        <v>130.19</v>
      </c>
      <c r="E9" s="26">
        <v>130.19</v>
      </c>
      <c r="F9" s="26">
        <v>122.91</v>
      </c>
      <c r="L9" s="26">
        <v>6</v>
      </c>
      <c r="M9" t="s">
        <v>43</v>
      </c>
      <c r="N9" s="1">
        <f t="shared" si="0"/>
        <v>6.2959439591801392E-2</v>
      </c>
      <c r="O9" s="31"/>
      <c r="P9" s="34" t="str">
        <f t="shared" si="1"/>
        <v/>
      </c>
      <c r="R9" t="s">
        <v>43</v>
      </c>
      <c r="S9" s="1">
        <f t="shared" si="3"/>
        <v>0.12591887918360301</v>
      </c>
      <c r="T9" s="1"/>
      <c r="U9" s="35" t="str">
        <f t="shared" si="2"/>
        <v/>
      </c>
      <c r="V9" s="32"/>
      <c r="W9" s="36"/>
      <c r="X9" s="36"/>
      <c r="Y9" s="36"/>
      <c r="Z9" s="36"/>
    </row>
    <row r="10" spans="1:27" x14ac:dyDescent="0.25">
      <c r="A10" s="26">
        <v>19980209</v>
      </c>
      <c r="B10" s="26">
        <v>2329</v>
      </c>
      <c r="C10" s="26" t="s">
        <v>15</v>
      </c>
      <c r="D10" s="26">
        <v>127.76</v>
      </c>
      <c r="E10" s="26">
        <v>135.04</v>
      </c>
      <c r="F10" s="26">
        <v>126.15</v>
      </c>
      <c r="L10" s="26">
        <v>7</v>
      </c>
      <c r="M10" t="s">
        <v>44</v>
      </c>
      <c r="N10" s="1">
        <f t="shared" si="0"/>
        <v>9.0979849520020917E-2</v>
      </c>
      <c r="O10" s="31"/>
      <c r="P10" s="34" t="str">
        <f t="shared" si="1"/>
        <v/>
      </c>
      <c r="R10" t="s">
        <v>44</v>
      </c>
      <c r="S10" s="1">
        <f t="shared" si="3"/>
        <v>0.16786301132923986</v>
      </c>
      <c r="T10" s="1"/>
      <c r="U10" s="35" t="str">
        <f t="shared" si="2"/>
        <v/>
      </c>
      <c r="V10" s="32"/>
    </row>
    <row r="11" spans="1:27" x14ac:dyDescent="0.25">
      <c r="A11" s="26">
        <v>19980210</v>
      </c>
      <c r="B11" s="26">
        <v>2329</v>
      </c>
      <c r="C11" s="26" t="s">
        <v>15</v>
      </c>
      <c r="D11" s="26">
        <v>125.34</v>
      </c>
      <c r="E11" s="26">
        <v>129.38</v>
      </c>
      <c r="F11" s="26">
        <v>124.53</v>
      </c>
      <c r="L11" s="26">
        <v>8</v>
      </c>
      <c r="M11" t="s">
        <v>45</v>
      </c>
      <c r="N11" s="1">
        <f t="shared" si="0"/>
        <v>7.6969644555911154E-2</v>
      </c>
      <c r="O11" s="31"/>
      <c r="P11" s="34" t="str">
        <f t="shared" si="1"/>
        <v/>
      </c>
      <c r="R11" t="s">
        <v>45</v>
      </c>
      <c r="S11" s="1">
        <f t="shared" si="3"/>
        <v>0.11891377670154801</v>
      </c>
      <c r="T11" s="1"/>
      <c r="U11" s="35" t="str">
        <f t="shared" si="2"/>
        <v/>
      </c>
      <c r="V11" s="32"/>
    </row>
    <row r="12" spans="1:27" x14ac:dyDescent="0.25">
      <c r="A12" s="26">
        <v>19980211</v>
      </c>
      <c r="B12" s="26">
        <v>2329</v>
      </c>
      <c r="C12" s="26" t="s">
        <v>15</v>
      </c>
      <c r="D12" s="26">
        <v>133.41999999999999</v>
      </c>
      <c r="E12" s="26">
        <v>133.41999999999999</v>
      </c>
      <c r="F12" s="26">
        <v>129.38</v>
      </c>
      <c r="L12" s="26">
        <v>9</v>
      </c>
      <c r="M12" t="s">
        <v>46</v>
      </c>
      <c r="N12" s="1">
        <f>IF(L12&gt;$I$2,"",F12/$D$3-1)</f>
        <v>0.11891377670154801</v>
      </c>
      <c r="O12" s="31"/>
      <c r="P12" s="34" t="str">
        <f t="shared" si="1"/>
        <v/>
      </c>
      <c r="R12" t="s">
        <v>46</v>
      </c>
      <c r="S12" s="1">
        <f>IF(L12&gt;$I$2,"",E12/$D$3-1)</f>
        <v>0.1538528063651301</v>
      </c>
      <c r="T12" s="1"/>
      <c r="U12" s="35" t="str">
        <f t="shared" si="2"/>
        <v/>
      </c>
      <c r="V12" s="32"/>
    </row>
    <row r="13" spans="1:27" x14ac:dyDescent="0.25">
      <c r="A13" s="26">
        <v>19980212</v>
      </c>
      <c r="B13" s="26">
        <v>2329</v>
      </c>
      <c r="C13" s="26" t="s">
        <v>15</v>
      </c>
      <c r="D13" s="26">
        <v>139.08000000000001</v>
      </c>
      <c r="E13" s="26">
        <v>142.32</v>
      </c>
      <c r="F13" s="26">
        <v>134.22999999999999</v>
      </c>
      <c r="L13" s="26">
        <v>10</v>
      </c>
      <c r="M13" t="s">
        <v>47</v>
      </c>
      <c r="N13" s="1">
        <f t="shared" si="0"/>
        <v>0.16085790884718487</v>
      </c>
      <c r="O13" s="31"/>
      <c r="P13" s="34" t="str">
        <f t="shared" si="1"/>
        <v/>
      </c>
      <c r="R13" t="s">
        <v>47</v>
      </c>
      <c r="S13" s="1">
        <f>IF(L13&gt;$I$2,"",E13/$D$3-1)</f>
        <v>0.23082245092104126</v>
      </c>
      <c r="T13" s="1"/>
      <c r="U13" s="35">
        <f t="shared" si="2"/>
        <v>1</v>
      </c>
      <c r="V13" s="32"/>
    </row>
    <row r="14" spans="1:27" x14ac:dyDescent="0.25">
      <c r="A14" s="26">
        <v>19980213</v>
      </c>
      <c r="B14" s="26">
        <v>2329</v>
      </c>
      <c r="C14" s="26" t="s">
        <v>15</v>
      </c>
      <c r="D14" s="26">
        <v>136.66</v>
      </c>
      <c r="E14" s="26">
        <v>142.32</v>
      </c>
      <c r="F14" s="26">
        <v>135.04</v>
      </c>
      <c r="L14" s="26">
        <v>11</v>
      </c>
      <c r="M14" t="s">
        <v>48</v>
      </c>
      <c r="N14" s="1">
        <f t="shared" si="0"/>
        <v>0.16786301132923986</v>
      </c>
      <c r="O14" s="31"/>
      <c r="P14" s="34" t="str">
        <f t="shared" si="1"/>
        <v/>
      </c>
      <c r="R14" t="s">
        <v>48</v>
      </c>
      <c r="S14" s="1">
        <f>IF(L14&gt;$I$2,"",E14/$D$3-1)</f>
        <v>0.23082245092104126</v>
      </c>
      <c r="T14" s="1"/>
      <c r="U14" s="35">
        <f t="shared" si="2"/>
        <v>1</v>
      </c>
      <c r="V14" s="32"/>
    </row>
    <row r="15" spans="1:27" x14ac:dyDescent="0.25">
      <c r="A15" s="26">
        <v>19980216</v>
      </c>
      <c r="B15" s="26">
        <v>2329</v>
      </c>
      <c r="C15" s="26" t="s">
        <v>15</v>
      </c>
      <c r="D15" s="26">
        <v>135.04</v>
      </c>
      <c r="E15" s="26">
        <v>136.66</v>
      </c>
      <c r="F15" s="26">
        <v>129.38</v>
      </c>
      <c r="L15" s="26">
        <v>12</v>
      </c>
      <c r="M15" t="s">
        <v>49</v>
      </c>
      <c r="N15" s="1">
        <f t="shared" si="0"/>
        <v>0.11891377670154801</v>
      </c>
      <c r="O15" s="31"/>
      <c r="P15" s="34" t="str">
        <f t="shared" si="1"/>
        <v/>
      </c>
      <c r="R15" t="s">
        <v>49</v>
      </c>
      <c r="S15" s="1">
        <f t="shared" ref="S15:S18" si="4">IF(L15&gt;$I$2,"",E15/$D$3-1)</f>
        <v>0.1818732162933494</v>
      </c>
      <c r="T15" s="1"/>
      <c r="U15" s="35" t="str">
        <f t="shared" si="2"/>
        <v/>
      </c>
      <c r="V15" s="32"/>
    </row>
    <row r="16" spans="1:27" x14ac:dyDescent="0.25">
      <c r="A16" s="26">
        <v>19980217</v>
      </c>
      <c r="B16" s="26">
        <v>2329</v>
      </c>
      <c r="C16" s="26" t="s">
        <v>15</v>
      </c>
      <c r="D16" s="26">
        <v>142.32</v>
      </c>
      <c r="E16" s="26">
        <v>143.94</v>
      </c>
      <c r="F16" s="26">
        <v>134.22999999999999</v>
      </c>
      <c r="L16" s="26">
        <v>13</v>
      </c>
      <c r="M16" t="s">
        <v>50</v>
      </c>
      <c r="N16" s="1">
        <f t="shared" si="0"/>
        <v>0.16085790884718487</v>
      </c>
      <c r="O16" s="31"/>
      <c r="P16" s="34" t="str">
        <f t="shared" si="1"/>
        <v/>
      </c>
      <c r="R16" t="s">
        <v>50</v>
      </c>
      <c r="S16" s="1">
        <f t="shared" si="4"/>
        <v>0.24483265588515102</v>
      </c>
      <c r="T16" s="1"/>
      <c r="U16" s="35">
        <f t="shared" si="2"/>
        <v>1</v>
      </c>
      <c r="V16" s="32"/>
    </row>
    <row r="17" spans="1:22" x14ac:dyDescent="0.25">
      <c r="A17" s="26">
        <v>19980218</v>
      </c>
      <c r="B17" s="26">
        <v>2329</v>
      </c>
      <c r="C17" s="26" t="s">
        <v>15</v>
      </c>
      <c r="D17" s="26">
        <v>148.79</v>
      </c>
      <c r="E17" s="26">
        <v>149.6</v>
      </c>
      <c r="F17" s="26">
        <v>144.74</v>
      </c>
      <c r="L17" s="26">
        <v>14</v>
      </c>
      <c r="M17" t="s">
        <v>51</v>
      </c>
      <c r="N17" s="1">
        <f t="shared" si="0"/>
        <v>0.2517512756205138</v>
      </c>
      <c r="O17" s="31"/>
      <c r="P17" s="34" t="str">
        <f t="shared" si="1"/>
        <v/>
      </c>
      <c r="R17" t="s">
        <v>51</v>
      </c>
      <c r="S17" s="1">
        <f t="shared" si="4"/>
        <v>0.29378189051284265</v>
      </c>
      <c r="T17" s="1"/>
      <c r="U17" s="35">
        <f t="shared" si="2"/>
        <v>1</v>
      </c>
      <c r="V17" s="32"/>
    </row>
    <row r="18" spans="1:22" x14ac:dyDescent="0.25">
      <c r="A18" s="26">
        <v>19980219</v>
      </c>
      <c r="B18" s="26">
        <v>2329</v>
      </c>
      <c r="C18" s="26" t="s">
        <v>15</v>
      </c>
      <c r="D18" s="26">
        <v>147.16999999999999</v>
      </c>
      <c r="E18" s="26">
        <v>152.02000000000001</v>
      </c>
      <c r="F18" s="26">
        <v>146.36000000000001</v>
      </c>
      <c r="L18" s="26">
        <v>15</v>
      </c>
      <c r="M18" t="s">
        <v>52</v>
      </c>
      <c r="N18" s="1">
        <f t="shared" si="0"/>
        <v>0.26576148058462357</v>
      </c>
      <c r="O18" s="31"/>
      <c r="P18" s="34" t="str">
        <f t="shared" si="1"/>
        <v/>
      </c>
      <c r="R18" t="s">
        <v>52</v>
      </c>
      <c r="S18" s="1">
        <f t="shared" si="4"/>
        <v>0.3147107152123152</v>
      </c>
      <c r="T18" s="1"/>
      <c r="U18" s="35">
        <f t="shared" si="2"/>
        <v>1</v>
      </c>
      <c r="V18" s="32"/>
    </row>
    <row r="19" spans="1:22" x14ac:dyDescent="0.25">
      <c r="A19" s="26">
        <v>19980220</v>
      </c>
      <c r="B19" s="26">
        <v>2329</v>
      </c>
      <c r="C19" s="26" t="s">
        <v>15</v>
      </c>
      <c r="D19" s="26">
        <v>147.16999999999999</v>
      </c>
      <c r="E19" s="26">
        <v>148.79</v>
      </c>
      <c r="F19" s="26">
        <v>142.32</v>
      </c>
      <c r="L19" s="26">
        <v>16</v>
      </c>
      <c r="M19" t="s">
        <v>53</v>
      </c>
      <c r="N19" s="1">
        <f t="shared" si="0"/>
        <v>0.23082245092104126</v>
      </c>
      <c r="O19" s="31"/>
      <c r="P19" s="34" t="str">
        <f t="shared" si="1"/>
        <v/>
      </c>
      <c r="R19" t="s">
        <v>53</v>
      </c>
      <c r="S19" s="1">
        <f>IF(L19&gt;$I$2,"",E19/$D$3-1)</f>
        <v>0.28677678803078788</v>
      </c>
      <c r="T19" s="1"/>
      <c r="U19" s="35">
        <f t="shared" si="2"/>
        <v>1</v>
      </c>
      <c r="V19" s="32"/>
    </row>
    <row r="20" spans="1:22" x14ac:dyDescent="0.25">
      <c r="A20" s="26">
        <v>19980221</v>
      </c>
      <c r="B20" s="26">
        <v>2329</v>
      </c>
      <c r="C20" s="26" t="s">
        <v>15</v>
      </c>
      <c r="D20" s="26">
        <v>148.79</v>
      </c>
      <c r="E20" s="26">
        <v>152.02000000000001</v>
      </c>
      <c r="F20" s="26">
        <v>147.97999999999999</v>
      </c>
      <c r="L20" s="26">
        <v>17</v>
      </c>
      <c r="M20" t="s">
        <v>54</v>
      </c>
      <c r="N20" s="1">
        <f t="shared" si="0"/>
        <v>0.27977168554873288</v>
      </c>
      <c r="O20" s="31"/>
      <c r="P20" s="34" t="str">
        <f t="shared" si="1"/>
        <v/>
      </c>
      <c r="R20" t="s">
        <v>54</v>
      </c>
      <c r="S20" s="1">
        <f>IF(L20&gt;$I$2,"",E20/$D$3-1)</f>
        <v>0.3147107152123152</v>
      </c>
      <c r="T20" s="1"/>
      <c r="U20" s="35">
        <f t="shared" si="2"/>
        <v>1</v>
      </c>
      <c r="V20" s="32"/>
    </row>
    <row r="21" spans="1:22" x14ac:dyDescent="0.25">
      <c r="A21" s="26">
        <v>19980223</v>
      </c>
      <c r="B21" s="26">
        <v>2329</v>
      </c>
      <c r="C21" s="26" t="s">
        <v>15</v>
      </c>
      <c r="D21" s="26">
        <v>145.55000000000001</v>
      </c>
      <c r="E21" s="26">
        <v>148.79</v>
      </c>
      <c r="F21" s="26">
        <v>142.32</v>
      </c>
      <c r="L21" s="26">
        <v>18</v>
      </c>
      <c r="M21" t="s">
        <v>55</v>
      </c>
      <c r="N21" s="1">
        <f t="shared" si="0"/>
        <v>0.23082245092104126</v>
      </c>
      <c r="O21" s="31"/>
      <c r="P21" s="34" t="str">
        <f t="shared" si="1"/>
        <v/>
      </c>
      <c r="R21" t="s">
        <v>55</v>
      </c>
      <c r="S21" s="1">
        <f>IF(L21&gt;$I$2,"",E21/$D$3-1)</f>
        <v>0.28677678803078788</v>
      </c>
      <c r="T21" s="1"/>
      <c r="U21" s="35">
        <f t="shared" si="2"/>
        <v>1</v>
      </c>
      <c r="V21" s="32"/>
    </row>
    <row r="22" spans="1:22" x14ac:dyDescent="0.25">
      <c r="A22" s="26">
        <v>19980224</v>
      </c>
      <c r="B22" s="26">
        <v>2329</v>
      </c>
      <c r="C22" s="26" t="s">
        <v>15</v>
      </c>
      <c r="D22" s="26">
        <v>137.47</v>
      </c>
      <c r="E22" s="26">
        <v>149.6</v>
      </c>
      <c r="F22" s="26">
        <v>136.66</v>
      </c>
      <c r="L22" s="26">
        <v>19</v>
      </c>
      <c r="M22" t="s">
        <v>56</v>
      </c>
      <c r="N22" s="1">
        <f t="shared" si="0"/>
        <v>0.1818732162933494</v>
      </c>
      <c r="O22" s="31"/>
      <c r="P22" s="34" t="str">
        <f t="shared" si="1"/>
        <v/>
      </c>
      <c r="R22" t="s">
        <v>56</v>
      </c>
      <c r="S22" s="1">
        <f>IF(L22&gt;$I$2,"",E22/$D$3-1)</f>
        <v>0.29378189051284265</v>
      </c>
      <c r="T22" s="1"/>
      <c r="U22" s="35">
        <f t="shared" si="2"/>
        <v>1</v>
      </c>
      <c r="V22" s="32"/>
    </row>
    <row r="23" spans="1:22" x14ac:dyDescent="0.25">
      <c r="A23" s="26">
        <v>19980225</v>
      </c>
      <c r="B23" s="26">
        <v>2329</v>
      </c>
      <c r="C23" s="26" t="s">
        <v>15</v>
      </c>
      <c r="D23" s="26">
        <v>135.04</v>
      </c>
      <c r="E23" s="26">
        <v>138.27000000000001</v>
      </c>
      <c r="F23" s="26">
        <v>134.22999999999999</v>
      </c>
      <c r="L23" s="26">
        <v>20</v>
      </c>
      <c r="M23" t="s">
        <v>57</v>
      </c>
      <c r="N23" s="1">
        <f t="shared" si="0"/>
        <v>0.16085790884718487</v>
      </c>
      <c r="O23" s="31"/>
      <c r="P23" s="34" t="str">
        <f t="shared" si="1"/>
        <v/>
      </c>
      <c r="R23" t="s">
        <v>57</v>
      </c>
      <c r="S23" s="1">
        <f>IF(L23&gt;$I$2,"",E23/$D$3-1)</f>
        <v>0.19579693851076718</v>
      </c>
      <c r="T23" s="1"/>
      <c r="U23" s="35" t="str">
        <f t="shared" si="2"/>
        <v/>
      </c>
      <c r="V23" s="32"/>
    </row>
    <row r="24" spans="1:22" x14ac:dyDescent="0.25">
      <c r="A24" s="26">
        <v>19980226</v>
      </c>
      <c r="B24" s="26">
        <v>2329</v>
      </c>
      <c r="C24" s="26" t="s">
        <v>15</v>
      </c>
      <c r="D24" s="26">
        <v>143.13</v>
      </c>
      <c r="E24" s="26">
        <v>143.94</v>
      </c>
      <c r="F24" s="26">
        <v>136.66</v>
      </c>
      <c r="L24" s="26">
        <v>21</v>
      </c>
      <c r="M24" t="s">
        <v>58</v>
      </c>
      <c r="N24" s="1">
        <f t="shared" si="0"/>
        <v>0.1818732162933494</v>
      </c>
      <c r="O24" s="31"/>
      <c r="P24" s="34" t="str">
        <f t="shared" si="1"/>
        <v/>
      </c>
      <c r="R24" t="s">
        <v>58</v>
      </c>
      <c r="S24" s="1">
        <f t="shared" ref="S24:S87" si="5">IF(L24&gt;$I$2,"",E24/$D$3-1)</f>
        <v>0.24483265588515102</v>
      </c>
      <c r="T24" s="1"/>
      <c r="U24" s="35">
        <f t="shared" si="2"/>
        <v>1</v>
      </c>
      <c r="V24" s="32"/>
    </row>
    <row r="25" spans="1:22" x14ac:dyDescent="0.25">
      <c r="A25" s="26">
        <v>19980227</v>
      </c>
      <c r="B25" s="26">
        <v>2329</v>
      </c>
      <c r="C25" s="26" t="s">
        <v>15</v>
      </c>
      <c r="D25" s="26">
        <v>139.08000000000001</v>
      </c>
      <c r="E25" s="26">
        <v>147.97999999999999</v>
      </c>
      <c r="F25" s="26">
        <v>138.27000000000001</v>
      </c>
      <c r="L25" s="26">
        <v>22</v>
      </c>
      <c r="M25" t="s">
        <v>59</v>
      </c>
      <c r="N25" s="1">
        <f t="shared" si="0"/>
        <v>0.19579693851076718</v>
      </c>
      <c r="O25" s="31"/>
      <c r="P25" s="34" t="str">
        <f t="shared" si="1"/>
        <v/>
      </c>
      <c r="R25" t="s">
        <v>59</v>
      </c>
      <c r="S25" s="1">
        <f t="shared" si="5"/>
        <v>0.27977168554873288</v>
      </c>
      <c r="T25" s="1"/>
      <c r="U25" s="35">
        <f t="shared" si="2"/>
        <v>1</v>
      </c>
      <c r="V25" s="32"/>
    </row>
    <row r="26" spans="1:22" x14ac:dyDescent="0.25">
      <c r="A26" s="26">
        <v>19980302</v>
      </c>
      <c r="B26" s="26">
        <v>2329</v>
      </c>
      <c r="C26" s="26" t="s">
        <v>15</v>
      </c>
      <c r="D26" s="26">
        <v>138.27000000000001</v>
      </c>
      <c r="E26" s="26">
        <v>141.51</v>
      </c>
      <c r="F26" s="26">
        <v>137.47</v>
      </c>
      <c r="L26" s="26">
        <v>23</v>
      </c>
      <c r="M26" t="s">
        <v>60</v>
      </c>
      <c r="N26" s="1">
        <f t="shared" si="0"/>
        <v>0.1888783187754044</v>
      </c>
      <c r="O26" s="31"/>
      <c r="P26" s="34" t="str">
        <f t="shared" si="1"/>
        <v/>
      </c>
      <c r="R26" t="s">
        <v>60</v>
      </c>
      <c r="S26" s="1">
        <f t="shared" si="5"/>
        <v>0.22381734843898649</v>
      </c>
      <c r="T26" s="1"/>
      <c r="U26" s="35">
        <f t="shared" si="2"/>
        <v>1</v>
      </c>
      <c r="V26" s="32"/>
    </row>
    <row r="27" spans="1:22" s="9" customFormat="1" x14ac:dyDescent="0.25">
      <c r="A27" s="16">
        <v>19980303</v>
      </c>
      <c r="B27" s="16">
        <v>2329</v>
      </c>
      <c r="C27" s="16" t="s">
        <v>15</v>
      </c>
      <c r="D27" s="16">
        <v>139.88999999999999</v>
      </c>
      <c r="E27" s="16">
        <v>139.88999999999999</v>
      </c>
      <c r="F27" s="16">
        <v>131</v>
      </c>
      <c r="L27" s="16">
        <v>24</v>
      </c>
      <c r="M27" s="9" t="s">
        <v>66</v>
      </c>
      <c r="N27" s="33">
        <f t="shared" si="0"/>
        <v>0.13292398166565778</v>
      </c>
      <c r="O27" s="32"/>
      <c r="P27" s="34" t="str">
        <f t="shared" si="1"/>
        <v/>
      </c>
      <c r="R27" s="9" t="s">
        <v>61</v>
      </c>
      <c r="S27" s="33">
        <f t="shared" si="5"/>
        <v>0.20980714347487672</v>
      </c>
      <c r="T27" s="33"/>
      <c r="U27" s="35">
        <f t="shared" si="2"/>
        <v>1</v>
      </c>
      <c r="V27" s="32"/>
    </row>
    <row r="28" spans="1:22" x14ac:dyDescent="0.25">
      <c r="A28" s="26"/>
      <c r="B28" s="26"/>
      <c r="C28" s="26"/>
      <c r="D28" s="26"/>
      <c r="E28" s="26"/>
      <c r="F28" s="26"/>
      <c r="L28" s="26">
        <v>25</v>
      </c>
      <c r="M28" t="s">
        <v>67</v>
      </c>
      <c r="N28" s="1" t="str">
        <f t="shared" si="0"/>
        <v/>
      </c>
      <c r="O28" s="31"/>
      <c r="P28" s="34" t="str">
        <f t="shared" si="1"/>
        <v/>
      </c>
      <c r="R28" t="s">
        <v>67</v>
      </c>
      <c r="S28" s="1" t="str">
        <f>IF(L28&gt;$I$2,"",E28/$D$3-1)</f>
        <v/>
      </c>
      <c r="T28" s="1"/>
      <c r="U28" s="35" t="str">
        <f t="shared" si="2"/>
        <v/>
      </c>
      <c r="V28" s="32"/>
    </row>
    <row r="29" spans="1:22" x14ac:dyDescent="0.25">
      <c r="A29" s="26"/>
      <c r="B29" s="26"/>
      <c r="C29" s="26"/>
      <c r="D29" s="26"/>
      <c r="E29" s="26"/>
      <c r="F29" s="26"/>
      <c r="L29" s="26">
        <v>26</v>
      </c>
      <c r="M29" t="s">
        <v>68</v>
      </c>
      <c r="N29" s="1" t="str">
        <f t="shared" si="0"/>
        <v/>
      </c>
      <c r="O29" s="31"/>
      <c r="P29" s="34" t="str">
        <f t="shared" si="1"/>
        <v/>
      </c>
      <c r="R29" t="s">
        <v>68</v>
      </c>
      <c r="S29" s="1" t="str">
        <f t="shared" si="5"/>
        <v/>
      </c>
      <c r="T29" s="1"/>
      <c r="U29" s="35" t="str">
        <f t="shared" si="2"/>
        <v/>
      </c>
      <c r="V29" s="32"/>
    </row>
    <row r="30" spans="1:22" x14ac:dyDescent="0.25">
      <c r="A30" s="26"/>
      <c r="B30" s="26"/>
      <c r="C30" s="26"/>
      <c r="D30" s="26"/>
      <c r="E30" s="26"/>
      <c r="F30" s="26"/>
      <c r="L30" s="26">
        <v>27</v>
      </c>
      <c r="M30" t="s">
        <v>69</v>
      </c>
      <c r="N30" s="1" t="str">
        <f t="shared" si="0"/>
        <v/>
      </c>
      <c r="O30" s="31"/>
      <c r="P30" s="34" t="str">
        <f t="shared" si="1"/>
        <v/>
      </c>
      <c r="R30" t="s">
        <v>69</v>
      </c>
      <c r="S30" s="1" t="str">
        <f t="shared" si="5"/>
        <v/>
      </c>
      <c r="T30" s="1"/>
      <c r="U30" s="35" t="str">
        <f t="shared" si="2"/>
        <v/>
      </c>
      <c r="V30" s="32"/>
    </row>
    <row r="31" spans="1:22" x14ac:dyDescent="0.25">
      <c r="A31" s="26"/>
      <c r="B31" s="26"/>
      <c r="C31" s="26"/>
      <c r="D31" s="26"/>
      <c r="E31" s="26"/>
      <c r="F31" s="26"/>
      <c r="L31" s="26">
        <v>28</v>
      </c>
      <c r="M31" t="s">
        <v>292</v>
      </c>
      <c r="N31" s="1" t="str">
        <f t="shared" si="0"/>
        <v/>
      </c>
      <c r="O31" s="31"/>
      <c r="P31" s="34" t="str">
        <f t="shared" si="1"/>
        <v/>
      </c>
      <c r="R31" t="s">
        <v>292</v>
      </c>
      <c r="S31" s="1" t="str">
        <f t="shared" si="5"/>
        <v/>
      </c>
      <c r="T31" s="1"/>
      <c r="U31" s="35" t="str">
        <f t="shared" si="2"/>
        <v/>
      </c>
      <c r="V31" s="32"/>
    </row>
    <row r="32" spans="1:22" x14ac:dyDescent="0.25">
      <c r="A32" s="26"/>
      <c r="B32" s="26"/>
      <c r="C32" s="26"/>
      <c r="D32" s="26"/>
      <c r="E32" s="26"/>
      <c r="F32" s="26"/>
      <c r="L32" s="26">
        <v>29</v>
      </c>
      <c r="M32" t="s">
        <v>291</v>
      </c>
      <c r="N32" s="1" t="str">
        <f t="shared" si="0"/>
        <v/>
      </c>
      <c r="O32" s="31"/>
      <c r="P32" s="34" t="str">
        <f t="shared" si="1"/>
        <v/>
      </c>
      <c r="R32" t="s">
        <v>291</v>
      </c>
      <c r="S32" s="1" t="str">
        <f t="shared" si="5"/>
        <v/>
      </c>
      <c r="T32" s="1"/>
      <c r="U32" s="35" t="str">
        <f t="shared" si="2"/>
        <v/>
      </c>
      <c r="V32" s="32"/>
    </row>
    <row r="33" spans="1:22" x14ac:dyDescent="0.25">
      <c r="A33" s="26"/>
      <c r="B33" s="26"/>
      <c r="C33" s="26"/>
      <c r="D33" s="26"/>
      <c r="E33" s="26"/>
      <c r="F33" s="26"/>
      <c r="L33" s="26">
        <v>30</v>
      </c>
      <c r="M33" t="s">
        <v>290</v>
      </c>
      <c r="N33" s="1" t="str">
        <f t="shared" si="0"/>
        <v/>
      </c>
      <c r="O33" s="31"/>
      <c r="P33" s="34" t="str">
        <f t="shared" si="1"/>
        <v/>
      </c>
      <c r="R33" t="s">
        <v>290</v>
      </c>
      <c r="S33" s="1" t="str">
        <f t="shared" si="5"/>
        <v/>
      </c>
      <c r="T33" s="1"/>
      <c r="U33" s="35" t="str">
        <f t="shared" si="2"/>
        <v/>
      </c>
      <c r="V33" s="32"/>
    </row>
    <row r="34" spans="1:22" x14ac:dyDescent="0.25">
      <c r="A34" s="26"/>
      <c r="B34" s="26"/>
      <c r="C34" s="26"/>
      <c r="D34" s="26"/>
      <c r="E34" s="26"/>
      <c r="F34" s="26"/>
      <c r="L34" s="26">
        <v>31</v>
      </c>
      <c r="M34" t="s">
        <v>289</v>
      </c>
      <c r="N34" s="1" t="str">
        <f t="shared" si="0"/>
        <v/>
      </c>
      <c r="O34" s="31"/>
      <c r="P34" s="34" t="str">
        <f t="shared" si="1"/>
        <v/>
      </c>
      <c r="R34" t="s">
        <v>289</v>
      </c>
      <c r="S34" s="1" t="str">
        <f t="shared" si="5"/>
        <v/>
      </c>
      <c r="T34" s="1"/>
      <c r="U34" s="35" t="str">
        <f t="shared" si="2"/>
        <v/>
      </c>
      <c r="V34" s="32"/>
    </row>
    <row r="35" spans="1:22" x14ac:dyDescent="0.25">
      <c r="A35" s="26"/>
      <c r="B35" s="26"/>
      <c r="C35" s="26"/>
      <c r="D35" s="26"/>
      <c r="E35" s="26"/>
      <c r="F35" s="26"/>
      <c r="L35" s="26">
        <v>32</v>
      </c>
      <c r="M35" t="s">
        <v>288</v>
      </c>
      <c r="N35" s="1" t="str">
        <f t="shared" si="0"/>
        <v/>
      </c>
      <c r="O35" s="31"/>
      <c r="P35" s="34" t="str">
        <f t="shared" si="1"/>
        <v/>
      </c>
      <c r="R35" t="s">
        <v>288</v>
      </c>
      <c r="S35" s="1" t="str">
        <f t="shared" si="5"/>
        <v/>
      </c>
      <c r="T35" s="1"/>
      <c r="U35" s="35" t="str">
        <f t="shared" si="2"/>
        <v/>
      </c>
      <c r="V35" s="32"/>
    </row>
    <row r="36" spans="1:22" x14ac:dyDescent="0.25">
      <c r="A36" s="26"/>
      <c r="B36" s="26"/>
      <c r="C36" s="26"/>
      <c r="D36" s="26"/>
      <c r="E36" s="26"/>
      <c r="F36" s="26"/>
      <c r="L36" s="26">
        <v>33</v>
      </c>
      <c r="M36" t="s">
        <v>287</v>
      </c>
      <c r="N36" s="1" t="str">
        <f t="shared" si="0"/>
        <v/>
      </c>
      <c r="O36" s="31"/>
      <c r="P36" s="34" t="str">
        <f t="shared" si="1"/>
        <v/>
      </c>
      <c r="R36" t="s">
        <v>287</v>
      </c>
      <c r="S36" s="1" t="str">
        <f t="shared" si="5"/>
        <v/>
      </c>
      <c r="T36" s="1"/>
      <c r="U36" s="35" t="str">
        <f t="shared" si="2"/>
        <v/>
      </c>
      <c r="V36" s="32"/>
    </row>
    <row r="37" spans="1:22" x14ac:dyDescent="0.25">
      <c r="A37" s="26"/>
      <c r="B37" s="26"/>
      <c r="C37" s="26"/>
      <c r="D37" s="26"/>
      <c r="E37" s="26"/>
      <c r="F37" s="26"/>
      <c r="L37" s="26">
        <v>34</v>
      </c>
      <c r="M37" t="s">
        <v>286</v>
      </c>
      <c r="N37" s="1" t="str">
        <f t="shared" si="0"/>
        <v/>
      </c>
      <c r="O37" s="31"/>
      <c r="P37" s="34" t="str">
        <f t="shared" si="1"/>
        <v/>
      </c>
      <c r="R37" t="s">
        <v>286</v>
      </c>
      <c r="S37" s="1" t="str">
        <f t="shared" si="5"/>
        <v/>
      </c>
      <c r="T37" s="1"/>
      <c r="U37" s="35" t="str">
        <f t="shared" si="2"/>
        <v/>
      </c>
      <c r="V37" s="32"/>
    </row>
    <row r="38" spans="1:22" x14ac:dyDescent="0.25">
      <c r="A38" s="26"/>
      <c r="B38" s="26"/>
      <c r="C38" s="26"/>
      <c r="D38" s="26"/>
      <c r="E38" s="26"/>
      <c r="F38" s="26"/>
      <c r="L38" s="26">
        <v>35</v>
      </c>
      <c r="M38" t="s">
        <v>285</v>
      </c>
      <c r="N38" s="1" t="str">
        <f t="shared" si="0"/>
        <v/>
      </c>
      <c r="O38" s="31"/>
      <c r="P38" s="34" t="str">
        <f t="shared" si="1"/>
        <v/>
      </c>
      <c r="R38" t="s">
        <v>285</v>
      </c>
      <c r="S38" s="1" t="str">
        <f t="shared" si="5"/>
        <v/>
      </c>
      <c r="T38" s="1"/>
      <c r="U38" s="35" t="str">
        <f t="shared" si="2"/>
        <v/>
      </c>
      <c r="V38" s="32"/>
    </row>
    <row r="39" spans="1:22" x14ac:dyDescent="0.25">
      <c r="A39" s="26"/>
      <c r="B39" s="26"/>
      <c r="C39" s="26"/>
      <c r="D39" s="26"/>
      <c r="E39" s="26"/>
      <c r="F39" s="26"/>
      <c r="L39" s="26">
        <v>36</v>
      </c>
      <c r="M39" t="s">
        <v>284</v>
      </c>
      <c r="N39" s="1" t="str">
        <f t="shared" si="0"/>
        <v/>
      </c>
      <c r="O39" s="31"/>
      <c r="P39" s="34" t="str">
        <f t="shared" si="1"/>
        <v/>
      </c>
      <c r="R39" t="s">
        <v>284</v>
      </c>
      <c r="S39" s="1" t="str">
        <f t="shared" si="5"/>
        <v/>
      </c>
      <c r="T39" s="1"/>
      <c r="U39" s="35" t="str">
        <f t="shared" si="2"/>
        <v/>
      </c>
      <c r="V39" s="32"/>
    </row>
    <row r="40" spans="1:22" x14ac:dyDescent="0.25">
      <c r="A40" s="26"/>
      <c r="B40" s="26"/>
      <c r="C40" s="26"/>
      <c r="D40" s="26"/>
      <c r="E40" s="26"/>
      <c r="F40" s="26"/>
      <c r="L40" s="26">
        <v>37</v>
      </c>
      <c r="M40" t="s">
        <v>283</v>
      </c>
      <c r="N40" s="1" t="str">
        <f t="shared" si="0"/>
        <v/>
      </c>
      <c r="O40" s="31"/>
      <c r="P40" s="34" t="str">
        <f t="shared" si="1"/>
        <v/>
      </c>
      <c r="R40" t="s">
        <v>283</v>
      </c>
      <c r="S40" s="1" t="str">
        <f t="shared" si="5"/>
        <v/>
      </c>
      <c r="T40" s="1"/>
      <c r="U40" s="35" t="str">
        <f t="shared" si="2"/>
        <v/>
      </c>
      <c r="V40" s="32"/>
    </row>
    <row r="41" spans="1:22" x14ac:dyDescent="0.25">
      <c r="A41" s="26"/>
      <c r="B41" s="26"/>
      <c r="C41" s="26"/>
      <c r="D41" s="26"/>
      <c r="E41" s="26"/>
      <c r="F41" s="26"/>
      <c r="L41" s="26">
        <v>38</v>
      </c>
      <c r="M41" t="s">
        <v>282</v>
      </c>
      <c r="N41" s="1" t="str">
        <f t="shared" si="0"/>
        <v/>
      </c>
      <c r="O41" s="31"/>
      <c r="P41" s="34" t="str">
        <f t="shared" si="1"/>
        <v/>
      </c>
      <c r="R41" t="s">
        <v>282</v>
      </c>
      <c r="S41" s="1" t="str">
        <f t="shared" si="5"/>
        <v/>
      </c>
      <c r="T41" s="1"/>
      <c r="U41" s="35" t="str">
        <f t="shared" si="2"/>
        <v/>
      </c>
      <c r="V41" s="32"/>
    </row>
    <row r="42" spans="1:22" x14ac:dyDescent="0.25">
      <c r="A42" s="26"/>
      <c r="B42" s="26"/>
      <c r="C42" s="26"/>
      <c r="D42" s="26"/>
      <c r="E42" s="26"/>
      <c r="F42" s="26"/>
      <c r="L42" s="26">
        <v>39</v>
      </c>
      <c r="M42" t="s">
        <v>281</v>
      </c>
      <c r="N42" s="1" t="str">
        <f t="shared" si="0"/>
        <v/>
      </c>
      <c r="O42" s="31"/>
      <c r="P42" s="34" t="str">
        <f t="shared" si="1"/>
        <v/>
      </c>
      <c r="R42" t="s">
        <v>281</v>
      </c>
      <c r="S42" s="1" t="str">
        <f t="shared" si="5"/>
        <v/>
      </c>
      <c r="T42" s="1"/>
      <c r="U42" s="35" t="str">
        <f t="shared" si="2"/>
        <v/>
      </c>
      <c r="V42" s="32"/>
    </row>
    <row r="43" spans="1:22" x14ac:dyDescent="0.25">
      <c r="A43" s="26"/>
      <c r="B43" s="26"/>
      <c r="C43" s="26"/>
      <c r="D43" s="26"/>
      <c r="E43" s="26"/>
      <c r="F43" s="26"/>
      <c r="L43" s="26">
        <v>40</v>
      </c>
      <c r="M43" t="s">
        <v>280</v>
      </c>
      <c r="N43" s="1" t="str">
        <f t="shared" si="0"/>
        <v/>
      </c>
      <c r="O43" s="31"/>
      <c r="P43" s="34" t="str">
        <f t="shared" si="1"/>
        <v/>
      </c>
      <c r="R43" t="s">
        <v>280</v>
      </c>
      <c r="S43" s="1" t="str">
        <f t="shared" si="5"/>
        <v/>
      </c>
      <c r="T43" s="1"/>
      <c r="U43" s="35" t="str">
        <f t="shared" si="2"/>
        <v/>
      </c>
      <c r="V43" s="32"/>
    </row>
    <row r="44" spans="1:22" x14ac:dyDescent="0.25">
      <c r="A44" s="26"/>
      <c r="B44" s="26"/>
      <c r="C44" s="26"/>
      <c r="D44" s="26"/>
      <c r="E44" s="26"/>
      <c r="F44" s="26"/>
      <c r="L44" s="26">
        <v>41</v>
      </c>
      <c r="M44" t="s">
        <v>279</v>
      </c>
      <c r="N44" s="1" t="str">
        <f t="shared" si="0"/>
        <v/>
      </c>
      <c r="O44" s="31"/>
      <c r="P44" s="34" t="str">
        <f t="shared" si="1"/>
        <v/>
      </c>
      <c r="R44" t="s">
        <v>279</v>
      </c>
      <c r="S44" s="1" t="str">
        <f t="shared" si="5"/>
        <v/>
      </c>
      <c r="T44" s="1"/>
      <c r="U44" s="35" t="str">
        <f t="shared" si="2"/>
        <v/>
      </c>
      <c r="V44" s="32"/>
    </row>
    <row r="45" spans="1:22" x14ac:dyDescent="0.25">
      <c r="A45" s="26"/>
      <c r="B45" s="26"/>
      <c r="C45" s="26"/>
      <c r="D45" s="26"/>
      <c r="E45" s="26"/>
      <c r="F45" s="26"/>
      <c r="L45" s="26">
        <v>42</v>
      </c>
      <c r="M45" t="s">
        <v>278</v>
      </c>
      <c r="N45" s="1" t="str">
        <f t="shared" si="0"/>
        <v/>
      </c>
      <c r="O45" s="31"/>
      <c r="P45" s="34" t="str">
        <f t="shared" si="1"/>
        <v/>
      </c>
      <c r="R45" t="s">
        <v>278</v>
      </c>
      <c r="S45" s="1" t="str">
        <f t="shared" si="5"/>
        <v/>
      </c>
      <c r="T45" s="1"/>
      <c r="U45" s="35" t="str">
        <f t="shared" si="2"/>
        <v/>
      </c>
      <c r="V45" s="32"/>
    </row>
    <row r="46" spans="1:22" x14ac:dyDescent="0.25">
      <c r="A46" s="26"/>
      <c r="B46" s="26"/>
      <c r="C46" s="26"/>
      <c r="D46" s="26"/>
      <c r="E46" s="26"/>
      <c r="F46" s="26"/>
      <c r="L46" s="26">
        <v>43</v>
      </c>
      <c r="M46" t="s">
        <v>277</v>
      </c>
      <c r="N46" s="1" t="str">
        <f t="shared" si="0"/>
        <v/>
      </c>
      <c r="O46" s="31"/>
      <c r="P46" s="34" t="str">
        <f t="shared" si="1"/>
        <v/>
      </c>
      <c r="R46" t="s">
        <v>277</v>
      </c>
      <c r="S46" s="1" t="str">
        <f t="shared" si="5"/>
        <v/>
      </c>
      <c r="T46" s="1"/>
      <c r="U46" s="35" t="str">
        <f t="shared" si="2"/>
        <v/>
      </c>
      <c r="V46" s="32"/>
    </row>
    <row r="47" spans="1:22" x14ac:dyDescent="0.25">
      <c r="A47" s="26"/>
      <c r="B47" s="26"/>
      <c r="C47" s="26"/>
      <c r="D47" s="26"/>
      <c r="E47" s="26"/>
      <c r="F47" s="26"/>
      <c r="L47" s="26">
        <v>44</v>
      </c>
      <c r="M47" t="s">
        <v>276</v>
      </c>
      <c r="N47" s="1" t="str">
        <f t="shared" si="0"/>
        <v/>
      </c>
      <c r="O47" s="31"/>
      <c r="P47" s="34" t="str">
        <f t="shared" si="1"/>
        <v/>
      </c>
      <c r="R47" t="s">
        <v>276</v>
      </c>
      <c r="S47" s="1" t="str">
        <f t="shared" si="5"/>
        <v/>
      </c>
      <c r="T47" s="1"/>
      <c r="U47" s="35" t="str">
        <f t="shared" si="2"/>
        <v/>
      </c>
      <c r="V47" s="32"/>
    </row>
    <row r="48" spans="1:22" x14ac:dyDescent="0.25">
      <c r="A48" s="26"/>
      <c r="B48" s="26"/>
      <c r="C48" s="26"/>
      <c r="D48" s="26"/>
      <c r="E48" s="26"/>
      <c r="F48" s="26"/>
      <c r="L48" s="26">
        <v>45</v>
      </c>
      <c r="M48" t="s">
        <v>275</v>
      </c>
      <c r="N48" s="1" t="str">
        <f t="shared" si="0"/>
        <v/>
      </c>
      <c r="O48" s="31"/>
      <c r="P48" s="34" t="str">
        <f t="shared" si="1"/>
        <v/>
      </c>
      <c r="R48" t="s">
        <v>275</v>
      </c>
      <c r="S48" s="1" t="str">
        <f t="shared" si="5"/>
        <v/>
      </c>
      <c r="T48" s="1"/>
      <c r="U48" s="35" t="str">
        <f t="shared" si="2"/>
        <v/>
      </c>
      <c r="V48" s="32"/>
    </row>
    <row r="49" spans="1:22" x14ac:dyDescent="0.25">
      <c r="A49" s="26"/>
      <c r="B49" s="26"/>
      <c r="C49" s="26"/>
      <c r="D49" s="26"/>
      <c r="E49" s="26"/>
      <c r="F49" s="26"/>
      <c r="L49" s="26">
        <v>46</v>
      </c>
      <c r="M49" t="s">
        <v>274</v>
      </c>
      <c r="N49" s="1" t="str">
        <f t="shared" si="0"/>
        <v/>
      </c>
      <c r="O49" s="31"/>
      <c r="P49" s="34" t="str">
        <f t="shared" si="1"/>
        <v/>
      </c>
      <c r="R49" t="s">
        <v>274</v>
      </c>
      <c r="S49" s="1" t="str">
        <f t="shared" si="5"/>
        <v/>
      </c>
      <c r="T49" s="1"/>
      <c r="U49" s="35" t="str">
        <f t="shared" si="2"/>
        <v/>
      </c>
      <c r="V49" s="32"/>
    </row>
    <row r="50" spans="1:22" x14ac:dyDescent="0.25">
      <c r="A50" s="26"/>
      <c r="B50" s="26"/>
      <c r="C50" s="26"/>
      <c r="D50" s="26"/>
      <c r="E50" s="26"/>
      <c r="F50" s="26"/>
      <c r="L50" s="26">
        <v>47</v>
      </c>
      <c r="M50" t="s">
        <v>273</v>
      </c>
      <c r="N50" s="1" t="str">
        <f t="shared" si="0"/>
        <v/>
      </c>
      <c r="O50" s="31"/>
      <c r="P50" s="34" t="str">
        <f t="shared" si="1"/>
        <v/>
      </c>
      <c r="R50" t="s">
        <v>273</v>
      </c>
      <c r="S50" s="1" t="str">
        <f t="shared" si="5"/>
        <v/>
      </c>
      <c r="T50" s="1"/>
      <c r="U50" s="35" t="str">
        <f t="shared" si="2"/>
        <v/>
      </c>
      <c r="V50" s="32"/>
    </row>
    <row r="51" spans="1:22" x14ac:dyDescent="0.25">
      <c r="A51" s="26"/>
      <c r="B51" s="26"/>
      <c r="C51" s="26"/>
      <c r="D51" s="26"/>
      <c r="E51" s="26"/>
      <c r="F51" s="26"/>
      <c r="L51" s="26">
        <v>48</v>
      </c>
      <c r="M51" t="s">
        <v>272</v>
      </c>
      <c r="N51" s="1" t="str">
        <f t="shared" si="0"/>
        <v/>
      </c>
      <c r="O51" s="31"/>
      <c r="P51" s="34" t="str">
        <f t="shared" si="1"/>
        <v/>
      </c>
      <c r="R51" t="s">
        <v>272</v>
      </c>
      <c r="S51" s="1" t="str">
        <f t="shared" si="5"/>
        <v/>
      </c>
      <c r="T51" s="1"/>
      <c r="U51" s="35" t="str">
        <f t="shared" si="2"/>
        <v/>
      </c>
      <c r="V51" s="32"/>
    </row>
    <row r="52" spans="1:22" x14ac:dyDescent="0.25">
      <c r="A52" s="26"/>
      <c r="B52" s="26"/>
      <c r="C52" s="26"/>
      <c r="D52" s="26"/>
      <c r="E52" s="26"/>
      <c r="F52" s="26"/>
      <c r="L52" s="26">
        <v>49</v>
      </c>
      <c r="M52" t="s">
        <v>271</v>
      </c>
      <c r="N52" s="1" t="str">
        <f t="shared" si="0"/>
        <v/>
      </c>
      <c r="O52" s="31"/>
      <c r="P52" s="34" t="str">
        <f t="shared" si="1"/>
        <v/>
      </c>
      <c r="R52" t="s">
        <v>271</v>
      </c>
      <c r="S52" s="1" t="str">
        <f t="shared" si="5"/>
        <v/>
      </c>
      <c r="T52" s="1"/>
      <c r="U52" s="35" t="str">
        <f t="shared" si="2"/>
        <v/>
      </c>
      <c r="V52" s="32"/>
    </row>
    <row r="53" spans="1:22" x14ac:dyDescent="0.25">
      <c r="A53" s="26"/>
      <c r="B53" s="26"/>
      <c r="C53" s="26"/>
      <c r="D53" s="26"/>
      <c r="E53" s="26"/>
      <c r="F53" s="26"/>
      <c r="L53" s="26">
        <v>50</v>
      </c>
      <c r="M53" t="s">
        <v>270</v>
      </c>
      <c r="N53" s="1" t="str">
        <f t="shared" si="0"/>
        <v/>
      </c>
      <c r="O53" s="31"/>
      <c r="P53" s="34" t="str">
        <f t="shared" si="1"/>
        <v/>
      </c>
      <c r="R53" t="s">
        <v>270</v>
      </c>
      <c r="S53" s="1" t="str">
        <f t="shared" si="5"/>
        <v/>
      </c>
      <c r="T53" s="1"/>
      <c r="U53" s="35" t="str">
        <f t="shared" si="2"/>
        <v/>
      </c>
      <c r="V53" s="32"/>
    </row>
    <row r="54" spans="1:22" x14ac:dyDescent="0.25">
      <c r="A54" s="26"/>
      <c r="B54" s="26"/>
      <c r="C54" s="26"/>
      <c r="D54" s="26"/>
      <c r="E54" s="26"/>
      <c r="F54" s="26"/>
      <c r="L54" s="26">
        <v>51</v>
      </c>
      <c r="M54" t="s">
        <v>269</v>
      </c>
      <c r="N54" s="1" t="str">
        <f t="shared" si="0"/>
        <v/>
      </c>
      <c r="O54" s="31"/>
      <c r="P54" s="34" t="str">
        <f t="shared" si="1"/>
        <v/>
      </c>
      <c r="R54" t="s">
        <v>269</v>
      </c>
      <c r="S54" s="1" t="str">
        <f t="shared" si="5"/>
        <v/>
      </c>
      <c r="T54" s="1"/>
      <c r="U54" s="35" t="str">
        <f t="shared" si="2"/>
        <v/>
      </c>
      <c r="V54" s="32"/>
    </row>
    <row r="55" spans="1:22" x14ac:dyDescent="0.25">
      <c r="A55" s="26"/>
      <c r="B55" s="26"/>
      <c r="C55" s="26"/>
      <c r="D55" s="26"/>
      <c r="E55" s="26"/>
      <c r="F55" s="26"/>
      <c r="L55" s="26">
        <v>52</v>
      </c>
      <c r="M55" t="s">
        <v>268</v>
      </c>
      <c r="N55" s="1" t="str">
        <f t="shared" si="0"/>
        <v/>
      </c>
      <c r="O55" s="31"/>
      <c r="P55" s="34" t="str">
        <f t="shared" si="1"/>
        <v/>
      </c>
      <c r="R55" t="s">
        <v>268</v>
      </c>
      <c r="S55" s="1" t="str">
        <f t="shared" si="5"/>
        <v/>
      </c>
      <c r="T55" s="1"/>
      <c r="U55" s="35" t="str">
        <f t="shared" si="2"/>
        <v/>
      </c>
      <c r="V55" s="32"/>
    </row>
    <row r="56" spans="1:22" x14ac:dyDescent="0.25">
      <c r="A56" s="26"/>
      <c r="B56" s="26"/>
      <c r="C56" s="26"/>
      <c r="D56" s="26"/>
      <c r="E56" s="26"/>
      <c r="F56" s="26"/>
      <c r="L56" s="26">
        <v>53</v>
      </c>
      <c r="M56" t="s">
        <v>267</v>
      </c>
      <c r="N56" s="1" t="str">
        <f t="shared" si="0"/>
        <v/>
      </c>
      <c r="O56" s="31"/>
      <c r="P56" s="34" t="str">
        <f t="shared" si="1"/>
        <v/>
      </c>
      <c r="R56" t="s">
        <v>267</v>
      </c>
      <c r="S56" s="1" t="str">
        <f t="shared" si="5"/>
        <v/>
      </c>
      <c r="T56" s="1"/>
      <c r="U56" s="35" t="str">
        <f t="shared" si="2"/>
        <v/>
      </c>
      <c r="V56" s="32"/>
    </row>
    <row r="57" spans="1:22" x14ac:dyDescent="0.25">
      <c r="A57" s="26"/>
      <c r="B57" s="26"/>
      <c r="C57" s="26"/>
      <c r="D57" s="26"/>
      <c r="E57" s="26"/>
      <c r="F57" s="26"/>
      <c r="L57" s="26">
        <v>54</v>
      </c>
      <c r="M57" t="s">
        <v>266</v>
      </c>
      <c r="N57" s="1" t="str">
        <f t="shared" si="0"/>
        <v/>
      </c>
      <c r="O57" s="31"/>
      <c r="P57" s="34" t="str">
        <f t="shared" si="1"/>
        <v/>
      </c>
      <c r="R57" t="s">
        <v>266</v>
      </c>
      <c r="S57" s="1" t="str">
        <f t="shared" si="5"/>
        <v/>
      </c>
      <c r="T57" s="1"/>
      <c r="U57" s="35" t="str">
        <f t="shared" si="2"/>
        <v/>
      </c>
      <c r="V57" s="32"/>
    </row>
    <row r="58" spans="1:22" x14ac:dyDescent="0.25">
      <c r="A58" s="26"/>
      <c r="B58" s="26"/>
      <c r="C58" s="26"/>
      <c r="D58" s="26"/>
      <c r="E58" s="26"/>
      <c r="F58" s="26"/>
      <c r="L58" s="26">
        <v>55</v>
      </c>
      <c r="M58" t="s">
        <v>265</v>
      </c>
      <c r="N58" s="1" t="str">
        <f t="shared" si="0"/>
        <v/>
      </c>
      <c r="O58" s="31"/>
      <c r="P58" s="34" t="str">
        <f t="shared" si="1"/>
        <v/>
      </c>
      <c r="R58" t="s">
        <v>265</v>
      </c>
      <c r="S58" s="1" t="str">
        <f t="shared" si="5"/>
        <v/>
      </c>
      <c r="T58" s="1"/>
      <c r="U58" s="35" t="str">
        <f t="shared" si="2"/>
        <v/>
      </c>
      <c r="V58" s="32"/>
    </row>
    <row r="59" spans="1:22" x14ac:dyDescent="0.25">
      <c r="A59" s="26"/>
      <c r="B59" s="26"/>
      <c r="C59" s="26"/>
      <c r="D59" s="26"/>
      <c r="E59" s="26"/>
      <c r="F59" s="26"/>
      <c r="L59" s="26">
        <v>56</v>
      </c>
      <c r="M59" t="s">
        <v>264</v>
      </c>
      <c r="N59" s="1" t="str">
        <f t="shared" si="0"/>
        <v/>
      </c>
      <c r="O59" s="31"/>
      <c r="P59" s="34" t="str">
        <f t="shared" si="1"/>
        <v/>
      </c>
      <c r="R59" t="s">
        <v>264</v>
      </c>
      <c r="S59" s="1" t="str">
        <f t="shared" si="5"/>
        <v/>
      </c>
      <c r="T59" s="1"/>
      <c r="U59" s="35" t="str">
        <f t="shared" si="2"/>
        <v/>
      </c>
      <c r="V59" s="32"/>
    </row>
    <row r="60" spans="1:22" x14ac:dyDescent="0.25">
      <c r="A60" s="26"/>
      <c r="B60" s="26"/>
      <c r="C60" s="26"/>
      <c r="D60" s="26"/>
      <c r="E60" s="26"/>
      <c r="F60" s="26"/>
      <c r="L60" s="26">
        <v>57</v>
      </c>
      <c r="M60" t="s">
        <v>263</v>
      </c>
      <c r="N60" s="1" t="str">
        <f t="shared" si="0"/>
        <v/>
      </c>
      <c r="O60" s="31"/>
      <c r="P60" s="34" t="str">
        <f t="shared" si="1"/>
        <v/>
      </c>
      <c r="R60" t="s">
        <v>263</v>
      </c>
      <c r="S60" s="1" t="str">
        <f t="shared" si="5"/>
        <v/>
      </c>
      <c r="T60" s="1"/>
      <c r="U60" s="35" t="str">
        <f t="shared" si="2"/>
        <v/>
      </c>
      <c r="V60" s="32"/>
    </row>
    <row r="61" spans="1:22" x14ac:dyDescent="0.25">
      <c r="A61" s="26"/>
      <c r="B61" s="26"/>
      <c r="C61" s="26"/>
      <c r="D61" s="26"/>
      <c r="E61" s="26"/>
      <c r="F61" s="26"/>
      <c r="L61" s="26">
        <v>58</v>
      </c>
      <c r="M61" t="s">
        <v>262</v>
      </c>
      <c r="N61" s="1" t="str">
        <f t="shared" si="0"/>
        <v/>
      </c>
      <c r="O61" s="31"/>
      <c r="P61" s="34" t="str">
        <f t="shared" si="1"/>
        <v/>
      </c>
      <c r="R61" t="s">
        <v>262</v>
      </c>
      <c r="S61" s="1" t="str">
        <f t="shared" si="5"/>
        <v/>
      </c>
      <c r="T61" s="1"/>
      <c r="U61" s="35" t="str">
        <f t="shared" si="2"/>
        <v/>
      </c>
      <c r="V61" s="32"/>
    </row>
    <row r="62" spans="1:22" x14ac:dyDescent="0.25">
      <c r="A62" s="26"/>
      <c r="B62" s="26"/>
      <c r="C62" s="26"/>
      <c r="D62" s="26"/>
      <c r="E62" s="26"/>
      <c r="F62" s="26"/>
      <c r="L62" s="26">
        <v>59</v>
      </c>
      <c r="M62" t="s">
        <v>261</v>
      </c>
      <c r="N62" s="1" t="str">
        <f t="shared" si="0"/>
        <v/>
      </c>
      <c r="O62" s="31"/>
      <c r="P62" s="34" t="str">
        <f t="shared" si="1"/>
        <v/>
      </c>
      <c r="R62" t="s">
        <v>261</v>
      </c>
      <c r="S62" s="1" t="str">
        <f t="shared" si="5"/>
        <v/>
      </c>
      <c r="T62" s="1"/>
      <c r="U62" s="35" t="str">
        <f t="shared" si="2"/>
        <v/>
      </c>
      <c r="V62" s="32"/>
    </row>
    <row r="63" spans="1:22" x14ac:dyDescent="0.25">
      <c r="A63" s="26"/>
      <c r="B63" s="26"/>
      <c r="C63" s="26"/>
      <c r="D63" s="26"/>
      <c r="E63" s="26"/>
      <c r="F63" s="26"/>
      <c r="L63" s="26">
        <v>60</v>
      </c>
      <c r="M63" t="s">
        <v>260</v>
      </c>
      <c r="N63" s="1" t="str">
        <f t="shared" si="0"/>
        <v/>
      </c>
      <c r="O63" s="31"/>
      <c r="P63" s="34" t="str">
        <f t="shared" si="1"/>
        <v/>
      </c>
      <c r="R63" t="s">
        <v>260</v>
      </c>
      <c r="S63" s="1" t="str">
        <f t="shared" si="5"/>
        <v/>
      </c>
      <c r="T63" s="1"/>
      <c r="U63" s="35" t="str">
        <f t="shared" si="2"/>
        <v/>
      </c>
      <c r="V63" s="32"/>
    </row>
    <row r="64" spans="1:22" x14ac:dyDescent="0.25">
      <c r="A64" s="26"/>
      <c r="B64" s="26"/>
      <c r="C64" s="26"/>
      <c r="D64" s="26"/>
      <c r="E64" s="26"/>
      <c r="F64" s="26"/>
      <c r="L64" s="26">
        <v>61</v>
      </c>
      <c r="M64" t="s">
        <v>259</v>
      </c>
      <c r="N64" s="1" t="str">
        <f t="shared" si="0"/>
        <v/>
      </c>
      <c r="O64" s="31"/>
      <c r="P64" s="34" t="str">
        <f t="shared" si="1"/>
        <v/>
      </c>
      <c r="R64" t="s">
        <v>259</v>
      </c>
      <c r="S64" s="1" t="str">
        <f t="shared" si="5"/>
        <v/>
      </c>
      <c r="T64" s="1"/>
      <c r="U64" s="35" t="str">
        <f t="shared" si="2"/>
        <v/>
      </c>
      <c r="V64" s="32"/>
    </row>
    <row r="65" spans="1:22" x14ac:dyDescent="0.25">
      <c r="A65" s="26"/>
      <c r="B65" s="26"/>
      <c r="C65" s="26"/>
      <c r="D65" s="26"/>
      <c r="E65" s="26"/>
      <c r="F65" s="26"/>
      <c r="L65" s="26">
        <v>62</v>
      </c>
      <c r="M65" t="s">
        <v>258</v>
      </c>
      <c r="N65" s="1" t="str">
        <f t="shared" si="0"/>
        <v/>
      </c>
      <c r="O65" s="31"/>
      <c r="P65" s="34" t="str">
        <f t="shared" si="1"/>
        <v/>
      </c>
      <c r="R65" t="s">
        <v>258</v>
      </c>
      <c r="S65" s="1" t="str">
        <f t="shared" si="5"/>
        <v/>
      </c>
      <c r="T65" s="1"/>
      <c r="U65" s="35" t="str">
        <f t="shared" si="2"/>
        <v/>
      </c>
      <c r="V65" s="32"/>
    </row>
    <row r="66" spans="1:22" x14ac:dyDescent="0.25">
      <c r="A66" s="26"/>
      <c r="B66" s="26"/>
      <c r="C66" s="26"/>
      <c r="D66" s="26"/>
      <c r="E66" s="26"/>
      <c r="F66" s="26"/>
      <c r="L66" s="26">
        <v>63</v>
      </c>
      <c r="M66" t="s">
        <v>257</v>
      </c>
      <c r="N66" s="1" t="str">
        <f t="shared" si="0"/>
        <v/>
      </c>
      <c r="O66" s="31"/>
      <c r="P66" s="34" t="str">
        <f t="shared" si="1"/>
        <v/>
      </c>
      <c r="R66" t="s">
        <v>257</v>
      </c>
      <c r="S66" s="1" t="str">
        <f t="shared" si="5"/>
        <v/>
      </c>
      <c r="T66" s="1"/>
      <c r="U66" s="35" t="str">
        <f t="shared" si="2"/>
        <v/>
      </c>
      <c r="V66" s="32"/>
    </row>
    <row r="67" spans="1:22" x14ac:dyDescent="0.25">
      <c r="A67" s="26"/>
      <c r="B67" s="26"/>
      <c r="C67" s="26"/>
      <c r="D67" s="26"/>
      <c r="E67" s="26"/>
      <c r="F67" s="26"/>
      <c r="L67" s="26">
        <v>64</v>
      </c>
      <c r="M67" t="s">
        <v>256</v>
      </c>
      <c r="N67" s="1" t="str">
        <f t="shared" si="0"/>
        <v/>
      </c>
      <c r="O67" s="31"/>
      <c r="P67" s="34" t="str">
        <f t="shared" si="1"/>
        <v/>
      </c>
      <c r="R67" t="s">
        <v>256</v>
      </c>
      <c r="S67" s="1" t="str">
        <f t="shared" si="5"/>
        <v/>
      </c>
      <c r="T67" s="1"/>
      <c r="U67" s="35" t="str">
        <f t="shared" si="2"/>
        <v/>
      </c>
      <c r="V67" s="32"/>
    </row>
    <row r="68" spans="1:22" x14ac:dyDescent="0.25">
      <c r="A68" s="26"/>
      <c r="B68" s="26"/>
      <c r="C68" s="26"/>
      <c r="D68" s="26"/>
      <c r="E68" s="26"/>
      <c r="F68" s="26"/>
      <c r="L68" s="26">
        <v>65</v>
      </c>
      <c r="M68" t="s">
        <v>255</v>
      </c>
      <c r="N68" s="1" t="str">
        <f t="shared" si="0"/>
        <v/>
      </c>
      <c r="O68" s="31"/>
      <c r="P68" s="34" t="str">
        <f t="shared" si="1"/>
        <v/>
      </c>
      <c r="R68" t="s">
        <v>255</v>
      </c>
      <c r="S68" s="1" t="str">
        <f t="shared" si="5"/>
        <v/>
      </c>
      <c r="T68" s="1"/>
      <c r="U68" s="35" t="str">
        <f t="shared" si="2"/>
        <v/>
      </c>
      <c r="V68" s="32"/>
    </row>
    <row r="69" spans="1:22" x14ac:dyDescent="0.25">
      <c r="A69" s="26"/>
      <c r="B69" s="26"/>
      <c r="C69" s="26"/>
      <c r="D69" s="26"/>
      <c r="E69" s="26"/>
      <c r="F69" s="26"/>
      <c r="L69" s="26">
        <v>66</v>
      </c>
      <c r="M69" t="s">
        <v>254</v>
      </c>
      <c r="N69" s="1" t="str">
        <f t="shared" ref="N69:N132" si="6">IF(L69&gt;$I$2,"",F69/$D$3-1)</f>
        <v/>
      </c>
      <c r="O69" s="31"/>
      <c r="P69" s="34" t="str">
        <f t="shared" ref="P69:P132" si="7">IF(AND(L69&lt;=$I$2,N69&lt;= -0.1),1,"")</f>
        <v/>
      </c>
      <c r="R69" t="s">
        <v>254</v>
      </c>
      <c r="S69" s="1" t="str">
        <f t="shared" si="5"/>
        <v/>
      </c>
      <c r="T69" s="1"/>
      <c r="U69" s="35" t="str">
        <f t="shared" ref="U69:U132" si="8">IF(AND(L69&lt;=$I$2,S69&gt;=0.2),1,"")</f>
        <v/>
      </c>
      <c r="V69" s="32"/>
    </row>
    <row r="70" spans="1:22" x14ac:dyDescent="0.25">
      <c r="A70" s="26"/>
      <c r="B70" s="26"/>
      <c r="C70" s="26"/>
      <c r="D70" s="26"/>
      <c r="E70" s="26"/>
      <c r="F70" s="26"/>
      <c r="L70" s="26">
        <v>67</v>
      </c>
      <c r="M70" t="s">
        <v>253</v>
      </c>
      <c r="N70" s="1" t="str">
        <f t="shared" si="6"/>
        <v/>
      </c>
      <c r="O70" s="31"/>
      <c r="P70" s="34" t="str">
        <f t="shared" si="7"/>
        <v/>
      </c>
      <c r="R70" t="s">
        <v>253</v>
      </c>
      <c r="S70" s="1" t="str">
        <f t="shared" si="5"/>
        <v/>
      </c>
      <c r="T70" s="1"/>
      <c r="U70" s="35" t="str">
        <f t="shared" si="8"/>
        <v/>
      </c>
      <c r="V70" s="32"/>
    </row>
    <row r="71" spans="1:22" x14ac:dyDescent="0.25">
      <c r="A71" s="26"/>
      <c r="B71" s="26"/>
      <c r="C71" s="26"/>
      <c r="D71" s="26"/>
      <c r="E71" s="26"/>
      <c r="F71" s="26"/>
      <c r="L71" s="26">
        <v>68</v>
      </c>
      <c r="M71" t="s">
        <v>252</v>
      </c>
      <c r="N71" s="1" t="str">
        <f t="shared" si="6"/>
        <v/>
      </c>
      <c r="O71" s="31"/>
      <c r="P71" s="34" t="str">
        <f t="shared" si="7"/>
        <v/>
      </c>
      <c r="R71" t="s">
        <v>252</v>
      </c>
      <c r="S71" s="1" t="str">
        <f t="shared" si="5"/>
        <v/>
      </c>
      <c r="T71" s="1"/>
      <c r="U71" s="35" t="str">
        <f t="shared" si="8"/>
        <v/>
      </c>
      <c r="V71" s="32"/>
    </row>
    <row r="72" spans="1:22" x14ac:dyDescent="0.25">
      <c r="A72" s="26"/>
      <c r="B72" s="26"/>
      <c r="C72" s="26"/>
      <c r="D72" s="26"/>
      <c r="E72" s="26"/>
      <c r="F72" s="26"/>
      <c r="L72" s="26">
        <v>69</v>
      </c>
      <c r="M72" t="s">
        <v>251</v>
      </c>
      <c r="N72" s="1" t="str">
        <f t="shared" si="6"/>
        <v/>
      </c>
      <c r="O72" s="31"/>
      <c r="P72" s="34" t="str">
        <f t="shared" si="7"/>
        <v/>
      </c>
      <c r="R72" t="s">
        <v>251</v>
      </c>
      <c r="S72" s="1" t="str">
        <f t="shared" si="5"/>
        <v/>
      </c>
      <c r="T72" s="1"/>
      <c r="U72" s="35" t="str">
        <f t="shared" si="8"/>
        <v/>
      </c>
      <c r="V72" s="32"/>
    </row>
    <row r="73" spans="1:22" x14ac:dyDescent="0.25">
      <c r="A73" s="26"/>
      <c r="B73" s="26"/>
      <c r="C73" s="26"/>
      <c r="D73" s="26"/>
      <c r="E73" s="26"/>
      <c r="F73" s="26"/>
      <c r="L73" s="26">
        <v>70</v>
      </c>
      <c r="M73" t="s">
        <v>250</v>
      </c>
      <c r="N73" s="1" t="str">
        <f t="shared" si="6"/>
        <v/>
      </c>
      <c r="O73" s="31"/>
      <c r="P73" s="34" t="str">
        <f t="shared" si="7"/>
        <v/>
      </c>
      <c r="R73" t="s">
        <v>250</v>
      </c>
      <c r="S73" s="1" t="str">
        <f t="shared" si="5"/>
        <v/>
      </c>
      <c r="T73" s="1"/>
      <c r="U73" s="35" t="str">
        <f t="shared" si="8"/>
        <v/>
      </c>
      <c r="V73" s="32"/>
    </row>
    <row r="74" spans="1:22" x14ac:dyDescent="0.25">
      <c r="A74" s="26"/>
      <c r="B74" s="26"/>
      <c r="C74" s="26"/>
      <c r="D74" s="26"/>
      <c r="E74" s="26"/>
      <c r="F74" s="26"/>
      <c r="L74" s="26">
        <v>71</v>
      </c>
      <c r="M74" t="s">
        <v>249</v>
      </c>
      <c r="N74" s="1" t="str">
        <f t="shared" si="6"/>
        <v/>
      </c>
      <c r="O74" s="31"/>
      <c r="P74" s="34" t="str">
        <f t="shared" si="7"/>
        <v/>
      </c>
      <c r="R74" t="s">
        <v>249</v>
      </c>
      <c r="S74" s="1" t="str">
        <f t="shared" si="5"/>
        <v/>
      </c>
      <c r="T74" s="1"/>
      <c r="U74" s="35" t="str">
        <f t="shared" si="8"/>
        <v/>
      </c>
      <c r="V74" s="32"/>
    </row>
    <row r="75" spans="1:22" x14ac:dyDescent="0.25">
      <c r="A75" s="26"/>
      <c r="B75" s="26"/>
      <c r="C75" s="26"/>
      <c r="D75" s="26"/>
      <c r="E75" s="26"/>
      <c r="F75" s="26"/>
      <c r="L75" s="26">
        <v>72</v>
      </c>
      <c r="M75" t="s">
        <v>248</v>
      </c>
      <c r="N75" s="1" t="str">
        <f t="shared" si="6"/>
        <v/>
      </c>
      <c r="O75" s="31"/>
      <c r="P75" s="34" t="str">
        <f t="shared" si="7"/>
        <v/>
      </c>
      <c r="R75" t="s">
        <v>248</v>
      </c>
      <c r="S75" s="1" t="str">
        <f t="shared" si="5"/>
        <v/>
      </c>
      <c r="T75" s="1"/>
      <c r="U75" s="35" t="str">
        <f t="shared" si="8"/>
        <v/>
      </c>
      <c r="V75" s="32"/>
    </row>
    <row r="76" spans="1:22" x14ac:dyDescent="0.25">
      <c r="A76" s="26"/>
      <c r="B76" s="26"/>
      <c r="C76" s="26"/>
      <c r="D76" s="26"/>
      <c r="E76" s="26"/>
      <c r="F76" s="26"/>
      <c r="L76" s="26">
        <v>73</v>
      </c>
      <c r="M76" t="s">
        <v>247</v>
      </c>
      <c r="N76" s="1" t="str">
        <f t="shared" si="6"/>
        <v/>
      </c>
      <c r="O76" s="31"/>
      <c r="P76" s="34" t="str">
        <f t="shared" si="7"/>
        <v/>
      </c>
      <c r="R76" t="s">
        <v>247</v>
      </c>
      <c r="S76" s="1" t="str">
        <f t="shared" si="5"/>
        <v/>
      </c>
      <c r="T76" s="1"/>
      <c r="U76" s="35" t="str">
        <f t="shared" si="8"/>
        <v/>
      </c>
      <c r="V76" s="32"/>
    </row>
    <row r="77" spans="1:22" x14ac:dyDescent="0.25">
      <c r="A77" s="26"/>
      <c r="B77" s="26"/>
      <c r="C77" s="26"/>
      <c r="D77" s="26"/>
      <c r="E77" s="26"/>
      <c r="F77" s="26"/>
      <c r="L77" s="26">
        <v>74</v>
      </c>
      <c r="M77" t="s">
        <v>246</v>
      </c>
      <c r="N77" s="1" t="str">
        <f t="shared" si="6"/>
        <v/>
      </c>
      <c r="O77" s="31"/>
      <c r="P77" s="34" t="str">
        <f t="shared" si="7"/>
        <v/>
      </c>
      <c r="R77" t="s">
        <v>246</v>
      </c>
      <c r="S77" s="1" t="str">
        <f t="shared" si="5"/>
        <v/>
      </c>
      <c r="T77" s="1"/>
      <c r="U77" s="35" t="str">
        <f t="shared" si="8"/>
        <v/>
      </c>
      <c r="V77" s="32"/>
    </row>
    <row r="78" spans="1:22" x14ac:dyDescent="0.25">
      <c r="A78" s="26"/>
      <c r="B78" s="26"/>
      <c r="C78" s="26"/>
      <c r="D78" s="26"/>
      <c r="E78" s="26"/>
      <c r="F78" s="26"/>
      <c r="L78" s="26">
        <v>75</v>
      </c>
      <c r="M78" t="s">
        <v>245</v>
      </c>
      <c r="N78" s="1" t="str">
        <f t="shared" si="6"/>
        <v/>
      </c>
      <c r="O78" s="31"/>
      <c r="P78" s="34" t="str">
        <f t="shared" si="7"/>
        <v/>
      </c>
      <c r="R78" t="s">
        <v>245</v>
      </c>
      <c r="S78" s="1" t="str">
        <f t="shared" si="5"/>
        <v/>
      </c>
      <c r="T78" s="1"/>
      <c r="U78" s="35" t="str">
        <f t="shared" si="8"/>
        <v/>
      </c>
      <c r="V78" s="32"/>
    </row>
    <row r="79" spans="1:22" x14ac:dyDescent="0.25">
      <c r="A79" s="26"/>
      <c r="B79" s="26"/>
      <c r="C79" s="26"/>
      <c r="D79" s="26"/>
      <c r="E79" s="26"/>
      <c r="F79" s="26"/>
      <c r="L79" s="26">
        <v>76</v>
      </c>
      <c r="M79" t="s">
        <v>244</v>
      </c>
      <c r="N79" s="1" t="str">
        <f t="shared" si="6"/>
        <v/>
      </c>
      <c r="O79" s="31"/>
      <c r="P79" s="34" t="str">
        <f t="shared" si="7"/>
        <v/>
      </c>
      <c r="R79" t="s">
        <v>244</v>
      </c>
      <c r="S79" s="1" t="str">
        <f t="shared" si="5"/>
        <v/>
      </c>
      <c r="T79" s="1"/>
      <c r="U79" s="35" t="str">
        <f t="shared" si="8"/>
        <v/>
      </c>
      <c r="V79" s="32"/>
    </row>
    <row r="80" spans="1:22" x14ac:dyDescent="0.25">
      <c r="A80" s="26"/>
      <c r="B80" s="26"/>
      <c r="C80" s="26"/>
      <c r="D80" s="26"/>
      <c r="E80" s="26"/>
      <c r="F80" s="26"/>
      <c r="L80" s="26">
        <v>77</v>
      </c>
      <c r="M80" t="s">
        <v>243</v>
      </c>
      <c r="N80" s="1" t="str">
        <f t="shared" si="6"/>
        <v/>
      </c>
      <c r="O80" s="31"/>
      <c r="P80" s="34" t="str">
        <f t="shared" si="7"/>
        <v/>
      </c>
      <c r="R80" t="s">
        <v>243</v>
      </c>
      <c r="S80" s="1" t="str">
        <f t="shared" si="5"/>
        <v/>
      </c>
      <c r="T80" s="1"/>
      <c r="U80" s="35" t="str">
        <f t="shared" si="8"/>
        <v/>
      </c>
      <c r="V80" s="32"/>
    </row>
    <row r="81" spans="1:22" x14ac:dyDescent="0.25">
      <c r="A81" s="26"/>
      <c r="B81" s="26"/>
      <c r="C81" s="26"/>
      <c r="D81" s="26"/>
      <c r="E81" s="26"/>
      <c r="F81" s="26"/>
      <c r="L81" s="26">
        <v>78</v>
      </c>
      <c r="M81" t="s">
        <v>242</v>
      </c>
      <c r="N81" s="1" t="str">
        <f t="shared" si="6"/>
        <v/>
      </c>
      <c r="O81" s="31"/>
      <c r="P81" s="34" t="str">
        <f t="shared" si="7"/>
        <v/>
      </c>
      <c r="R81" t="s">
        <v>242</v>
      </c>
      <c r="S81" s="1" t="str">
        <f t="shared" si="5"/>
        <v/>
      </c>
      <c r="T81" s="1"/>
      <c r="U81" s="35" t="str">
        <f t="shared" si="8"/>
        <v/>
      </c>
      <c r="V81" s="32"/>
    </row>
    <row r="82" spans="1:22" x14ac:dyDescent="0.25">
      <c r="A82" s="26"/>
      <c r="B82" s="26"/>
      <c r="C82" s="26"/>
      <c r="D82" s="26"/>
      <c r="E82" s="26"/>
      <c r="F82" s="26"/>
      <c r="L82" s="26">
        <v>79</v>
      </c>
      <c r="M82" t="s">
        <v>241</v>
      </c>
      <c r="N82" s="1" t="str">
        <f t="shared" si="6"/>
        <v/>
      </c>
      <c r="O82" s="31"/>
      <c r="P82" s="34" t="str">
        <f t="shared" si="7"/>
        <v/>
      </c>
      <c r="R82" t="s">
        <v>241</v>
      </c>
      <c r="S82" s="1" t="str">
        <f t="shared" si="5"/>
        <v/>
      </c>
      <c r="T82" s="1"/>
      <c r="U82" s="35" t="str">
        <f t="shared" si="8"/>
        <v/>
      </c>
      <c r="V82" s="32"/>
    </row>
    <row r="83" spans="1:22" x14ac:dyDescent="0.25">
      <c r="A83" s="26"/>
      <c r="B83" s="26"/>
      <c r="C83" s="26"/>
      <c r="D83" s="26"/>
      <c r="E83" s="26"/>
      <c r="F83" s="26"/>
      <c r="L83" s="26">
        <v>80</v>
      </c>
      <c r="M83" t="s">
        <v>240</v>
      </c>
      <c r="N83" s="1" t="str">
        <f t="shared" si="6"/>
        <v/>
      </c>
      <c r="O83" s="31"/>
      <c r="P83" s="34" t="str">
        <f t="shared" si="7"/>
        <v/>
      </c>
      <c r="R83" t="s">
        <v>240</v>
      </c>
      <c r="S83" s="1" t="str">
        <f t="shared" si="5"/>
        <v/>
      </c>
      <c r="T83" s="1"/>
      <c r="U83" s="35" t="str">
        <f t="shared" si="8"/>
        <v/>
      </c>
      <c r="V83" s="32"/>
    </row>
    <row r="84" spans="1:22" x14ac:dyDescent="0.25">
      <c r="A84" s="26"/>
      <c r="B84" s="26"/>
      <c r="C84" s="26"/>
      <c r="D84" s="26"/>
      <c r="E84" s="26"/>
      <c r="F84" s="26"/>
      <c r="L84" s="26">
        <v>81</v>
      </c>
      <c r="M84" t="s">
        <v>239</v>
      </c>
      <c r="N84" s="1" t="str">
        <f t="shared" si="6"/>
        <v/>
      </c>
      <c r="O84" s="31"/>
      <c r="P84" s="34" t="str">
        <f t="shared" si="7"/>
        <v/>
      </c>
      <c r="R84" t="s">
        <v>239</v>
      </c>
      <c r="S84" s="1" t="str">
        <f t="shared" si="5"/>
        <v/>
      </c>
      <c r="T84" s="1"/>
      <c r="U84" s="35" t="str">
        <f t="shared" si="8"/>
        <v/>
      </c>
      <c r="V84" s="32"/>
    </row>
    <row r="85" spans="1:22" x14ac:dyDescent="0.25">
      <c r="A85" s="26"/>
      <c r="B85" s="26"/>
      <c r="C85" s="26"/>
      <c r="D85" s="26"/>
      <c r="E85" s="26"/>
      <c r="F85" s="26"/>
      <c r="L85" s="26">
        <v>82</v>
      </c>
      <c r="M85" t="s">
        <v>238</v>
      </c>
      <c r="N85" s="1" t="str">
        <f t="shared" si="6"/>
        <v/>
      </c>
      <c r="O85" s="31"/>
      <c r="P85" s="34" t="str">
        <f t="shared" si="7"/>
        <v/>
      </c>
      <c r="R85" t="s">
        <v>238</v>
      </c>
      <c r="S85" s="1" t="str">
        <f t="shared" si="5"/>
        <v/>
      </c>
      <c r="T85" s="1"/>
      <c r="U85" s="35" t="str">
        <f t="shared" si="8"/>
        <v/>
      </c>
      <c r="V85" s="32"/>
    </row>
    <row r="86" spans="1:22" x14ac:dyDescent="0.25">
      <c r="A86" s="26"/>
      <c r="B86" s="26"/>
      <c r="C86" s="26"/>
      <c r="D86" s="26"/>
      <c r="E86" s="26"/>
      <c r="F86" s="26"/>
      <c r="L86" s="26">
        <v>83</v>
      </c>
      <c r="M86" t="s">
        <v>237</v>
      </c>
      <c r="N86" s="1" t="str">
        <f t="shared" si="6"/>
        <v/>
      </c>
      <c r="O86" s="31"/>
      <c r="P86" s="34" t="str">
        <f t="shared" si="7"/>
        <v/>
      </c>
      <c r="R86" t="s">
        <v>237</v>
      </c>
      <c r="S86" s="1" t="str">
        <f t="shared" si="5"/>
        <v/>
      </c>
      <c r="T86" s="1"/>
      <c r="U86" s="35" t="str">
        <f t="shared" si="8"/>
        <v/>
      </c>
      <c r="V86" s="32"/>
    </row>
    <row r="87" spans="1:22" x14ac:dyDescent="0.25">
      <c r="A87" s="26"/>
      <c r="B87" s="26"/>
      <c r="C87" s="26"/>
      <c r="D87" s="26"/>
      <c r="E87" s="26"/>
      <c r="F87" s="26"/>
      <c r="L87" s="26">
        <v>84</v>
      </c>
      <c r="M87" t="s">
        <v>236</v>
      </c>
      <c r="N87" s="1" t="str">
        <f t="shared" si="6"/>
        <v/>
      </c>
      <c r="O87" s="31"/>
      <c r="P87" s="34" t="str">
        <f t="shared" si="7"/>
        <v/>
      </c>
      <c r="R87" t="s">
        <v>236</v>
      </c>
      <c r="S87" s="1" t="str">
        <f t="shared" si="5"/>
        <v/>
      </c>
      <c r="T87" s="1"/>
      <c r="U87" s="35" t="str">
        <f t="shared" si="8"/>
        <v/>
      </c>
      <c r="V87" s="32"/>
    </row>
    <row r="88" spans="1:22" x14ac:dyDescent="0.25">
      <c r="A88" s="26"/>
      <c r="B88" s="26"/>
      <c r="C88" s="26"/>
      <c r="D88" s="26"/>
      <c r="E88" s="26"/>
      <c r="F88" s="26"/>
      <c r="L88" s="26">
        <v>85</v>
      </c>
      <c r="M88" t="s">
        <v>235</v>
      </c>
      <c r="N88" s="1" t="str">
        <f t="shared" si="6"/>
        <v/>
      </c>
      <c r="O88" s="31"/>
      <c r="P88" s="34" t="str">
        <f t="shared" si="7"/>
        <v/>
      </c>
      <c r="R88" t="s">
        <v>235</v>
      </c>
      <c r="S88" s="1" t="str">
        <f t="shared" ref="S88:S151" si="9">IF(L88&gt;$I$2,"",E88/$D$3-1)</f>
        <v/>
      </c>
      <c r="T88" s="1"/>
      <c r="U88" s="35" t="str">
        <f t="shared" si="8"/>
        <v/>
      </c>
      <c r="V88" s="32"/>
    </row>
    <row r="89" spans="1:22" x14ac:dyDescent="0.25">
      <c r="A89" s="26"/>
      <c r="B89" s="26"/>
      <c r="C89" s="26"/>
      <c r="D89" s="26"/>
      <c r="E89" s="26"/>
      <c r="F89" s="26"/>
      <c r="L89" s="26">
        <v>86</v>
      </c>
      <c r="M89" t="s">
        <v>234</v>
      </c>
      <c r="N89" s="1" t="str">
        <f t="shared" si="6"/>
        <v/>
      </c>
      <c r="O89" s="31"/>
      <c r="P89" s="34" t="str">
        <f t="shared" si="7"/>
        <v/>
      </c>
      <c r="R89" t="s">
        <v>234</v>
      </c>
      <c r="S89" s="1" t="str">
        <f t="shared" si="9"/>
        <v/>
      </c>
      <c r="T89" s="1"/>
      <c r="U89" s="35" t="str">
        <f t="shared" si="8"/>
        <v/>
      </c>
      <c r="V89" s="32"/>
    </row>
    <row r="90" spans="1:22" x14ac:dyDescent="0.25">
      <c r="A90" s="26"/>
      <c r="B90" s="26"/>
      <c r="C90" s="26"/>
      <c r="D90" s="26"/>
      <c r="E90" s="26"/>
      <c r="F90" s="26"/>
      <c r="L90" s="26">
        <v>87</v>
      </c>
      <c r="M90" t="s">
        <v>233</v>
      </c>
      <c r="N90" s="1" t="str">
        <f t="shared" si="6"/>
        <v/>
      </c>
      <c r="O90" s="31"/>
      <c r="P90" s="34" t="str">
        <f t="shared" si="7"/>
        <v/>
      </c>
      <c r="R90" t="s">
        <v>233</v>
      </c>
      <c r="S90" s="1" t="str">
        <f t="shared" si="9"/>
        <v/>
      </c>
      <c r="T90" s="1"/>
      <c r="U90" s="35" t="str">
        <f t="shared" si="8"/>
        <v/>
      </c>
      <c r="V90" s="32"/>
    </row>
    <row r="91" spans="1:22" x14ac:dyDescent="0.25">
      <c r="A91" s="26"/>
      <c r="B91" s="26"/>
      <c r="C91" s="26"/>
      <c r="D91" s="26"/>
      <c r="E91" s="26"/>
      <c r="F91" s="26"/>
      <c r="L91" s="26">
        <v>88</v>
      </c>
      <c r="M91" t="s">
        <v>232</v>
      </c>
      <c r="N91" s="1" t="str">
        <f t="shared" si="6"/>
        <v/>
      </c>
      <c r="O91" s="31"/>
      <c r="P91" s="34" t="str">
        <f t="shared" si="7"/>
        <v/>
      </c>
      <c r="R91" t="s">
        <v>232</v>
      </c>
      <c r="S91" s="1" t="str">
        <f t="shared" si="9"/>
        <v/>
      </c>
      <c r="T91" s="1"/>
      <c r="U91" s="35" t="str">
        <f t="shared" si="8"/>
        <v/>
      </c>
      <c r="V91" s="32"/>
    </row>
    <row r="92" spans="1:22" x14ac:dyDescent="0.25">
      <c r="A92" s="26"/>
      <c r="B92" s="26"/>
      <c r="C92" s="26"/>
      <c r="D92" s="26"/>
      <c r="E92" s="26"/>
      <c r="F92" s="26"/>
      <c r="L92" s="26">
        <v>89</v>
      </c>
      <c r="M92" t="s">
        <v>231</v>
      </c>
      <c r="N92" s="1" t="str">
        <f t="shared" si="6"/>
        <v/>
      </c>
      <c r="O92" s="31"/>
      <c r="P92" s="34" t="str">
        <f t="shared" si="7"/>
        <v/>
      </c>
      <c r="R92" t="s">
        <v>231</v>
      </c>
      <c r="S92" s="1" t="str">
        <f t="shared" si="9"/>
        <v/>
      </c>
      <c r="T92" s="1"/>
      <c r="U92" s="35" t="str">
        <f t="shared" si="8"/>
        <v/>
      </c>
      <c r="V92" s="32"/>
    </row>
    <row r="93" spans="1:22" x14ac:dyDescent="0.25">
      <c r="A93" s="26"/>
      <c r="B93" s="26"/>
      <c r="C93" s="26"/>
      <c r="D93" s="26"/>
      <c r="E93" s="26"/>
      <c r="F93" s="26"/>
      <c r="L93" s="26">
        <v>90</v>
      </c>
      <c r="M93" t="s">
        <v>230</v>
      </c>
      <c r="N93" s="1" t="str">
        <f t="shared" si="6"/>
        <v/>
      </c>
      <c r="O93" s="31"/>
      <c r="P93" s="34" t="str">
        <f t="shared" si="7"/>
        <v/>
      </c>
      <c r="R93" t="s">
        <v>230</v>
      </c>
      <c r="S93" s="1" t="str">
        <f t="shared" si="9"/>
        <v/>
      </c>
      <c r="T93" s="1"/>
      <c r="U93" s="35" t="str">
        <f t="shared" si="8"/>
        <v/>
      </c>
      <c r="V93" s="32"/>
    </row>
    <row r="94" spans="1:22" x14ac:dyDescent="0.25">
      <c r="A94" s="26"/>
      <c r="B94" s="26"/>
      <c r="C94" s="26"/>
      <c r="D94" s="26"/>
      <c r="E94" s="26"/>
      <c r="F94" s="26"/>
      <c r="L94" s="26">
        <v>91</v>
      </c>
      <c r="M94" t="s">
        <v>229</v>
      </c>
      <c r="N94" s="1" t="str">
        <f t="shared" si="6"/>
        <v/>
      </c>
      <c r="O94" s="31"/>
      <c r="P94" s="34" t="str">
        <f t="shared" si="7"/>
        <v/>
      </c>
      <c r="R94" t="s">
        <v>229</v>
      </c>
      <c r="S94" s="1" t="str">
        <f t="shared" si="9"/>
        <v/>
      </c>
      <c r="T94" s="1"/>
      <c r="U94" s="35" t="str">
        <f t="shared" si="8"/>
        <v/>
      </c>
      <c r="V94" s="32"/>
    </row>
    <row r="95" spans="1:22" x14ac:dyDescent="0.25">
      <c r="A95" s="26"/>
      <c r="B95" s="26"/>
      <c r="C95" s="26"/>
      <c r="D95" s="26"/>
      <c r="E95" s="26"/>
      <c r="F95" s="26"/>
      <c r="L95" s="26">
        <v>92</v>
      </c>
      <c r="M95" t="s">
        <v>228</v>
      </c>
      <c r="N95" s="1" t="str">
        <f t="shared" si="6"/>
        <v/>
      </c>
      <c r="O95" s="31"/>
      <c r="P95" s="34" t="str">
        <f t="shared" si="7"/>
        <v/>
      </c>
      <c r="R95" t="s">
        <v>228</v>
      </c>
      <c r="S95" s="1" t="str">
        <f t="shared" si="9"/>
        <v/>
      </c>
      <c r="T95" s="1"/>
      <c r="U95" s="35" t="str">
        <f t="shared" si="8"/>
        <v/>
      </c>
      <c r="V95" s="32"/>
    </row>
    <row r="96" spans="1:22" x14ac:dyDescent="0.25">
      <c r="L96" s="26">
        <v>93</v>
      </c>
      <c r="M96" t="s">
        <v>227</v>
      </c>
      <c r="N96" s="1" t="str">
        <f t="shared" si="6"/>
        <v/>
      </c>
      <c r="O96" s="31"/>
      <c r="P96" s="34" t="str">
        <f t="shared" si="7"/>
        <v/>
      </c>
      <c r="R96" t="s">
        <v>227</v>
      </c>
      <c r="S96" s="1" t="str">
        <f t="shared" si="9"/>
        <v/>
      </c>
      <c r="T96" s="1"/>
      <c r="U96" s="35" t="str">
        <f t="shared" si="8"/>
        <v/>
      </c>
      <c r="V96" s="32"/>
    </row>
    <row r="97" spans="12:22" x14ac:dyDescent="0.25">
      <c r="L97" s="26">
        <v>94</v>
      </c>
      <c r="M97" t="s">
        <v>226</v>
      </c>
      <c r="N97" s="1" t="str">
        <f t="shared" si="6"/>
        <v/>
      </c>
      <c r="O97" s="31"/>
      <c r="P97" s="34" t="str">
        <f t="shared" si="7"/>
        <v/>
      </c>
      <c r="R97" t="s">
        <v>226</v>
      </c>
      <c r="S97" s="1" t="str">
        <f t="shared" si="9"/>
        <v/>
      </c>
      <c r="T97" s="1"/>
      <c r="U97" s="35" t="str">
        <f t="shared" si="8"/>
        <v/>
      </c>
      <c r="V97" s="32"/>
    </row>
    <row r="98" spans="12:22" x14ac:dyDescent="0.25">
      <c r="L98" s="26">
        <v>95</v>
      </c>
      <c r="M98" t="s">
        <v>225</v>
      </c>
      <c r="N98" s="1" t="str">
        <f t="shared" si="6"/>
        <v/>
      </c>
      <c r="O98" s="31"/>
      <c r="P98" s="34" t="str">
        <f t="shared" si="7"/>
        <v/>
      </c>
      <c r="R98" t="s">
        <v>225</v>
      </c>
      <c r="S98" s="1" t="str">
        <f t="shared" si="9"/>
        <v/>
      </c>
      <c r="T98" s="1"/>
      <c r="U98" s="35" t="str">
        <f t="shared" si="8"/>
        <v/>
      </c>
      <c r="V98" s="32"/>
    </row>
    <row r="99" spans="12:22" x14ac:dyDescent="0.25">
      <c r="L99" s="26">
        <v>96</v>
      </c>
      <c r="M99" t="s">
        <v>224</v>
      </c>
      <c r="N99" s="1" t="str">
        <f t="shared" si="6"/>
        <v/>
      </c>
      <c r="O99" s="31"/>
      <c r="P99" s="34" t="str">
        <f t="shared" si="7"/>
        <v/>
      </c>
      <c r="R99" t="s">
        <v>224</v>
      </c>
      <c r="S99" s="1" t="str">
        <f t="shared" si="9"/>
        <v/>
      </c>
      <c r="T99" s="1"/>
      <c r="U99" s="35" t="str">
        <f t="shared" si="8"/>
        <v/>
      </c>
      <c r="V99" s="32"/>
    </row>
    <row r="100" spans="12:22" x14ac:dyDescent="0.25">
      <c r="L100" s="26">
        <v>97</v>
      </c>
      <c r="M100" t="s">
        <v>223</v>
      </c>
      <c r="N100" s="1" t="str">
        <f t="shared" si="6"/>
        <v/>
      </c>
      <c r="O100" s="31"/>
      <c r="P100" s="34" t="str">
        <f t="shared" si="7"/>
        <v/>
      </c>
      <c r="R100" t="s">
        <v>223</v>
      </c>
      <c r="S100" s="1" t="str">
        <f t="shared" si="9"/>
        <v/>
      </c>
      <c r="T100" s="1"/>
      <c r="U100" s="35" t="str">
        <f t="shared" si="8"/>
        <v/>
      </c>
      <c r="V100" s="32"/>
    </row>
    <row r="101" spans="12:22" x14ac:dyDescent="0.25">
      <c r="L101" s="26">
        <v>98</v>
      </c>
      <c r="M101" t="s">
        <v>222</v>
      </c>
      <c r="N101" s="1" t="str">
        <f t="shared" si="6"/>
        <v/>
      </c>
      <c r="O101" s="31"/>
      <c r="P101" s="34" t="str">
        <f t="shared" si="7"/>
        <v/>
      </c>
      <c r="R101" t="s">
        <v>222</v>
      </c>
      <c r="S101" s="1" t="str">
        <f t="shared" si="9"/>
        <v/>
      </c>
      <c r="T101" s="1"/>
      <c r="U101" s="35" t="str">
        <f t="shared" si="8"/>
        <v/>
      </c>
      <c r="V101" s="32"/>
    </row>
    <row r="102" spans="12:22" x14ac:dyDescent="0.25">
      <c r="L102" s="26">
        <v>99</v>
      </c>
      <c r="M102" t="s">
        <v>221</v>
      </c>
      <c r="N102" s="1" t="str">
        <f t="shared" si="6"/>
        <v/>
      </c>
      <c r="O102" s="31"/>
      <c r="P102" s="34" t="str">
        <f t="shared" si="7"/>
        <v/>
      </c>
      <c r="R102" t="s">
        <v>221</v>
      </c>
      <c r="S102" s="1" t="str">
        <f t="shared" si="9"/>
        <v/>
      </c>
      <c r="T102" s="1"/>
      <c r="U102" s="35" t="str">
        <f t="shared" si="8"/>
        <v/>
      </c>
      <c r="V102" s="32"/>
    </row>
    <row r="103" spans="12:22" x14ac:dyDescent="0.25">
      <c r="L103" s="26">
        <v>100</v>
      </c>
      <c r="M103" t="s">
        <v>220</v>
      </c>
      <c r="N103" s="1" t="str">
        <f t="shared" si="6"/>
        <v/>
      </c>
      <c r="O103" s="31"/>
      <c r="P103" s="34" t="str">
        <f t="shared" si="7"/>
        <v/>
      </c>
      <c r="R103" t="s">
        <v>220</v>
      </c>
      <c r="S103" s="1" t="str">
        <f t="shared" si="9"/>
        <v/>
      </c>
      <c r="T103" s="1"/>
      <c r="U103" s="35" t="str">
        <f t="shared" si="8"/>
        <v/>
      </c>
      <c r="V103" s="32"/>
    </row>
    <row r="104" spans="12:22" x14ac:dyDescent="0.25">
      <c r="L104" s="26">
        <v>101</v>
      </c>
      <c r="M104" t="s">
        <v>219</v>
      </c>
      <c r="N104" s="1" t="str">
        <f t="shared" si="6"/>
        <v/>
      </c>
      <c r="O104" s="31"/>
      <c r="P104" s="34" t="str">
        <f t="shared" si="7"/>
        <v/>
      </c>
      <c r="R104" t="s">
        <v>219</v>
      </c>
      <c r="S104" s="1" t="str">
        <f t="shared" si="9"/>
        <v/>
      </c>
      <c r="T104" s="1"/>
      <c r="U104" s="35" t="str">
        <f t="shared" si="8"/>
        <v/>
      </c>
      <c r="V104" s="32"/>
    </row>
    <row r="105" spans="12:22" x14ac:dyDescent="0.25">
      <c r="L105" s="26">
        <v>102</v>
      </c>
      <c r="M105" t="s">
        <v>218</v>
      </c>
      <c r="N105" s="1" t="str">
        <f t="shared" si="6"/>
        <v/>
      </c>
      <c r="O105" s="31"/>
      <c r="P105" s="34" t="str">
        <f t="shared" si="7"/>
        <v/>
      </c>
      <c r="R105" t="s">
        <v>218</v>
      </c>
      <c r="S105" s="1" t="str">
        <f t="shared" si="9"/>
        <v/>
      </c>
      <c r="T105" s="1"/>
      <c r="U105" s="35" t="str">
        <f t="shared" si="8"/>
        <v/>
      </c>
      <c r="V105" s="32"/>
    </row>
    <row r="106" spans="12:22" x14ac:dyDescent="0.25">
      <c r="L106" s="26">
        <v>103</v>
      </c>
      <c r="M106" t="s">
        <v>217</v>
      </c>
      <c r="N106" s="1" t="str">
        <f t="shared" si="6"/>
        <v/>
      </c>
      <c r="O106" s="31"/>
      <c r="P106" s="34" t="str">
        <f t="shared" si="7"/>
        <v/>
      </c>
      <c r="R106" t="s">
        <v>217</v>
      </c>
      <c r="S106" s="1" t="str">
        <f t="shared" si="9"/>
        <v/>
      </c>
      <c r="T106" s="1"/>
      <c r="U106" s="35" t="str">
        <f t="shared" si="8"/>
        <v/>
      </c>
      <c r="V106" s="32"/>
    </row>
    <row r="107" spans="12:22" x14ac:dyDescent="0.25">
      <c r="L107" s="26">
        <v>104</v>
      </c>
      <c r="M107" t="s">
        <v>216</v>
      </c>
      <c r="N107" s="1" t="str">
        <f t="shared" si="6"/>
        <v/>
      </c>
      <c r="O107" s="31"/>
      <c r="P107" s="34" t="str">
        <f t="shared" si="7"/>
        <v/>
      </c>
      <c r="R107" t="s">
        <v>216</v>
      </c>
      <c r="S107" s="1" t="str">
        <f t="shared" si="9"/>
        <v/>
      </c>
      <c r="T107" s="1"/>
      <c r="U107" s="35" t="str">
        <f t="shared" si="8"/>
        <v/>
      </c>
      <c r="V107" s="32"/>
    </row>
    <row r="108" spans="12:22" x14ac:dyDescent="0.25">
      <c r="L108" s="26">
        <v>105</v>
      </c>
      <c r="M108" t="s">
        <v>215</v>
      </c>
      <c r="N108" s="1" t="str">
        <f t="shared" si="6"/>
        <v/>
      </c>
      <c r="O108" s="31"/>
      <c r="P108" s="34" t="str">
        <f t="shared" si="7"/>
        <v/>
      </c>
      <c r="R108" t="s">
        <v>215</v>
      </c>
      <c r="S108" s="1" t="str">
        <f t="shared" si="9"/>
        <v/>
      </c>
      <c r="T108" s="1"/>
      <c r="U108" s="35" t="str">
        <f t="shared" si="8"/>
        <v/>
      </c>
      <c r="V108" s="32"/>
    </row>
    <row r="109" spans="12:22" x14ac:dyDescent="0.25">
      <c r="L109" s="26">
        <v>106</v>
      </c>
      <c r="M109" t="s">
        <v>214</v>
      </c>
      <c r="N109" s="1" t="str">
        <f t="shared" si="6"/>
        <v/>
      </c>
      <c r="O109" s="31"/>
      <c r="P109" s="34" t="str">
        <f t="shared" si="7"/>
        <v/>
      </c>
      <c r="R109" t="s">
        <v>214</v>
      </c>
      <c r="S109" s="1" t="str">
        <f t="shared" si="9"/>
        <v/>
      </c>
      <c r="T109" s="1"/>
      <c r="U109" s="35" t="str">
        <f t="shared" si="8"/>
        <v/>
      </c>
      <c r="V109" s="32"/>
    </row>
    <row r="110" spans="12:22" x14ac:dyDescent="0.25">
      <c r="L110" s="26">
        <v>107</v>
      </c>
      <c r="M110" t="s">
        <v>213</v>
      </c>
      <c r="N110" s="1" t="str">
        <f t="shared" si="6"/>
        <v/>
      </c>
      <c r="O110" s="31"/>
      <c r="P110" s="34" t="str">
        <f t="shared" si="7"/>
        <v/>
      </c>
      <c r="R110" t="s">
        <v>213</v>
      </c>
      <c r="S110" s="1" t="str">
        <f t="shared" si="9"/>
        <v/>
      </c>
      <c r="T110" s="1"/>
      <c r="U110" s="35" t="str">
        <f t="shared" si="8"/>
        <v/>
      </c>
      <c r="V110" s="32"/>
    </row>
    <row r="111" spans="12:22" x14ac:dyDescent="0.25">
      <c r="L111" s="26">
        <v>108</v>
      </c>
      <c r="M111" t="s">
        <v>212</v>
      </c>
      <c r="N111" s="1" t="str">
        <f t="shared" si="6"/>
        <v/>
      </c>
      <c r="O111" s="31"/>
      <c r="P111" s="34" t="str">
        <f t="shared" si="7"/>
        <v/>
      </c>
      <c r="R111" t="s">
        <v>212</v>
      </c>
      <c r="S111" s="1" t="str">
        <f t="shared" si="9"/>
        <v/>
      </c>
      <c r="T111" s="1"/>
      <c r="U111" s="35" t="str">
        <f t="shared" si="8"/>
        <v/>
      </c>
      <c r="V111" s="32"/>
    </row>
    <row r="112" spans="12:22" x14ac:dyDescent="0.25">
      <c r="L112" s="26">
        <v>109</v>
      </c>
      <c r="M112" t="s">
        <v>211</v>
      </c>
      <c r="N112" s="1" t="str">
        <f t="shared" si="6"/>
        <v/>
      </c>
      <c r="O112" s="31"/>
      <c r="P112" s="34" t="str">
        <f t="shared" si="7"/>
        <v/>
      </c>
      <c r="R112" t="s">
        <v>211</v>
      </c>
      <c r="S112" s="1" t="str">
        <f t="shared" si="9"/>
        <v/>
      </c>
      <c r="T112" s="1"/>
      <c r="U112" s="35" t="str">
        <f t="shared" si="8"/>
        <v/>
      </c>
      <c r="V112" s="32"/>
    </row>
    <row r="113" spans="12:22" x14ac:dyDescent="0.25">
      <c r="L113" s="26">
        <v>110</v>
      </c>
      <c r="M113" t="s">
        <v>210</v>
      </c>
      <c r="N113" s="1" t="str">
        <f t="shared" si="6"/>
        <v/>
      </c>
      <c r="O113" s="31"/>
      <c r="P113" s="34" t="str">
        <f t="shared" si="7"/>
        <v/>
      </c>
      <c r="R113" t="s">
        <v>210</v>
      </c>
      <c r="S113" s="1" t="str">
        <f t="shared" si="9"/>
        <v/>
      </c>
      <c r="T113" s="1"/>
      <c r="U113" s="35" t="str">
        <f t="shared" si="8"/>
        <v/>
      </c>
      <c r="V113" s="32"/>
    </row>
    <row r="114" spans="12:22" x14ac:dyDescent="0.25">
      <c r="L114" s="26">
        <v>111</v>
      </c>
      <c r="M114" t="s">
        <v>209</v>
      </c>
      <c r="N114" s="1" t="str">
        <f t="shared" si="6"/>
        <v/>
      </c>
      <c r="O114" s="31"/>
      <c r="P114" s="34" t="str">
        <f t="shared" si="7"/>
        <v/>
      </c>
      <c r="R114" t="s">
        <v>209</v>
      </c>
      <c r="S114" s="1" t="str">
        <f t="shared" si="9"/>
        <v/>
      </c>
      <c r="T114" s="1"/>
      <c r="U114" s="35" t="str">
        <f t="shared" si="8"/>
        <v/>
      </c>
      <c r="V114" s="32"/>
    </row>
    <row r="115" spans="12:22" x14ac:dyDescent="0.25">
      <c r="L115" s="26">
        <v>112</v>
      </c>
      <c r="M115" t="s">
        <v>208</v>
      </c>
      <c r="N115" s="1" t="str">
        <f t="shared" si="6"/>
        <v/>
      </c>
      <c r="O115" s="31"/>
      <c r="P115" s="34" t="str">
        <f t="shared" si="7"/>
        <v/>
      </c>
      <c r="R115" t="s">
        <v>208</v>
      </c>
      <c r="S115" s="1" t="str">
        <f t="shared" si="9"/>
        <v/>
      </c>
      <c r="T115" s="1"/>
      <c r="U115" s="35" t="str">
        <f t="shared" si="8"/>
        <v/>
      </c>
      <c r="V115" s="32"/>
    </row>
    <row r="116" spans="12:22" x14ac:dyDescent="0.25">
      <c r="L116" s="26">
        <v>113</v>
      </c>
      <c r="M116" t="s">
        <v>207</v>
      </c>
      <c r="N116" s="1" t="str">
        <f t="shared" si="6"/>
        <v/>
      </c>
      <c r="O116" s="31"/>
      <c r="P116" s="34" t="str">
        <f t="shared" si="7"/>
        <v/>
      </c>
      <c r="R116" t="s">
        <v>207</v>
      </c>
      <c r="S116" s="1" t="str">
        <f t="shared" si="9"/>
        <v/>
      </c>
      <c r="T116" s="1"/>
      <c r="U116" s="35" t="str">
        <f t="shared" si="8"/>
        <v/>
      </c>
      <c r="V116" s="32"/>
    </row>
    <row r="117" spans="12:22" x14ac:dyDescent="0.25">
      <c r="L117" s="26">
        <v>114</v>
      </c>
      <c r="M117" t="s">
        <v>206</v>
      </c>
      <c r="N117" s="1" t="str">
        <f t="shared" si="6"/>
        <v/>
      </c>
      <c r="O117" s="31"/>
      <c r="P117" s="34" t="str">
        <f t="shared" si="7"/>
        <v/>
      </c>
      <c r="R117" t="s">
        <v>206</v>
      </c>
      <c r="S117" s="1" t="str">
        <f t="shared" si="9"/>
        <v/>
      </c>
      <c r="T117" s="1"/>
      <c r="U117" s="35" t="str">
        <f t="shared" si="8"/>
        <v/>
      </c>
      <c r="V117" s="32"/>
    </row>
    <row r="118" spans="12:22" x14ac:dyDescent="0.25">
      <c r="L118" s="26">
        <v>115</v>
      </c>
      <c r="M118" t="s">
        <v>205</v>
      </c>
      <c r="N118" s="1" t="str">
        <f t="shared" si="6"/>
        <v/>
      </c>
      <c r="O118" s="31"/>
      <c r="P118" s="34" t="str">
        <f t="shared" si="7"/>
        <v/>
      </c>
      <c r="R118" t="s">
        <v>205</v>
      </c>
      <c r="S118" s="1" t="str">
        <f t="shared" si="9"/>
        <v/>
      </c>
      <c r="T118" s="1"/>
      <c r="U118" s="35" t="str">
        <f t="shared" si="8"/>
        <v/>
      </c>
      <c r="V118" s="32"/>
    </row>
    <row r="119" spans="12:22" x14ac:dyDescent="0.25">
      <c r="L119" s="26">
        <v>116</v>
      </c>
      <c r="M119" t="s">
        <v>204</v>
      </c>
      <c r="N119" s="1" t="str">
        <f t="shared" si="6"/>
        <v/>
      </c>
      <c r="O119" s="31"/>
      <c r="P119" s="34" t="str">
        <f t="shared" si="7"/>
        <v/>
      </c>
      <c r="R119" t="s">
        <v>204</v>
      </c>
      <c r="S119" s="1" t="str">
        <f t="shared" si="9"/>
        <v/>
      </c>
      <c r="T119" s="1"/>
      <c r="U119" s="35" t="str">
        <f t="shared" si="8"/>
        <v/>
      </c>
      <c r="V119" s="32"/>
    </row>
    <row r="120" spans="12:22" x14ac:dyDescent="0.25">
      <c r="L120" s="26">
        <v>117</v>
      </c>
      <c r="M120" t="s">
        <v>203</v>
      </c>
      <c r="N120" s="1" t="str">
        <f t="shared" si="6"/>
        <v/>
      </c>
      <c r="O120" s="31"/>
      <c r="P120" s="34" t="str">
        <f t="shared" si="7"/>
        <v/>
      </c>
      <c r="R120" t="s">
        <v>203</v>
      </c>
      <c r="S120" s="1" t="str">
        <f t="shared" si="9"/>
        <v/>
      </c>
      <c r="T120" s="1"/>
      <c r="U120" s="35" t="str">
        <f t="shared" si="8"/>
        <v/>
      </c>
      <c r="V120" s="32"/>
    </row>
    <row r="121" spans="12:22" x14ac:dyDescent="0.25">
      <c r="L121" s="26">
        <v>118</v>
      </c>
      <c r="M121" t="s">
        <v>202</v>
      </c>
      <c r="N121" s="1" t="str">
        <f t="shared" si="6"/>
        <v/>
      </c>
      <c r="O121" s="31"/>
      <c r="P121" s="34" t="str">
        <f t="shared" si="7"/>
        <v/>
      </c>
      <c r="R121" t="s">
        <v>202</v>
      </c>
      <c r="S121" s="1" t="str">
        <f t="shared" si="9"/>
        <v/>
      </c>
      <c r="T121" s="1"/>
      <c r="U121" s="35" t="str">
        <f t="shared" si="8"/>
        <v/>
      </c>
      <c r="V121" s="32"/>
    </row>
    <row r="122" spans="12:22" x14ac:dyDescent="0.25">
      <c r="L122" s="26">
        <v>119</v>
      </c>
      <c r="M122" t="s">
        <v>201</v>
      </c>
      <c r="N122" s="1" t="str">
        <f t="shared" si="6"/>
        <v/>
      </c>
      <c r="O122" s="31"/>
      <c r="P122" s="34" t="str">
        <f t="shared" si="7"/>
        <v/>
      </c>
      <c r="R122" t="s">
        <v>201</v>
      </c>
      <c r="S122" s="1" t="str">
        <f t="shared" si="9"/>
        <v/>
      </c>
      <c r="T122" s="1"/>
      <c r="U122" s="35" t="str">
        <f t="shared" si="8"/>
        <v/>
      </c>
      <c r="V122" s="32"/>
    </row>
    <row r="123" spans="12:22" x14ac:dyDescent="0.25">
      <c r="L123" s="26">
        <v>120</v>
      </c>
      <c r="M123" t="s">
        <v>200</v>
      </c>
      <c r="N123" s="1" t="str">
        <f t="shared" si="6"/>
        <v/>
      </c>
      <c r="O123" s="31"/>
      <c r="P123" s="34" t="str">
        <f t="shared" si="7"/>
        <v/>
      </c>
      <c r="R123" t="s">
        <v>200</v>
      </c>
      <c r="S123" s="1" t="str">
        <f t="shared" si="9"/>
        <v/>
      </c>
      <c r="T123" s="1"/>
      <c r="U123" s="35" t="str">
        <f t="shared" si="8"/>
        <v/>
      </c>
      <c r="V123" s="32"/>
    </row>
    <row r="124" spans="12:22" x14ac:dyDescent="0.25">
      <c r="L124" s="26">
        <v>121</v>
      </c>
      <c r="M124" t="s">
        <v>199</v>
      </c>
      <c r="N124" s="1" t="str">
        <f t="shared" si="6"/>
        <v/>
      </c>
      <c r="O124" s="31"/>
      <c r="P124" s="34" t="str">
        <f t="shared" si="7"/>
        <v/>
      </c>
      <c r="R124" t="s">
        <v>199</v>
      </c>
      <c r="S124" s="1" t="str">
        <f t="shared" si="9"/>
        <v/>
      </c>
      <c r="T124" s="1"/>
      <c r="U124" s="35" t="str">
        <f t="shared" si="8"/>
        <v/>
      </c>
      <c r="V124" s="32"/>
    </row>
    <row r="125" spans="12:22" x14ac:dyDescent="0.25">
      <c r="L125" s="26">
        <v>122</v>
      </c>
      <c r="M125" t="s">
        <v>198</v>
      </c>
      <c r="N125" s="1" t="str">
        <f t="shared" si="6"/>
        <v/>
      </c>
      <c r="O125" s="31"/>
      <c r="P125" s="34" t="str">
        <f t="shared" si="7"/>
        <v/>
      </c>
      <c r="R125" t="s">
        <v>198</v>
      </c>
      <c r="S125" s="1" t="str">
        <f t="shared" si="9"/>
        <v/>
      </c>
      <c r="T125" s="1"/>
      <c r="U125" s="35" t="str">
        <f t="shared" si="8"/>
        <v/>
      </c>
      <c r="V125" s="32"/>
    </row>
    <row r="126" spans="12:22" x14ac:dyDescent="0.25">
      <c r="L126" s="26">
        <v>123</v>
      </c>
      <c r="M126" t="s">
        <v>197</v>
      </c>
      <c r="N126" s="1" t="str">
        <f t="shared" si="6"/>
        <v/>
      </c>
      <c r="O126" s="31"/>
      <c r="P126" s="34" t="str">
        <f t="shared" si="7"/>
        <v/>
      </c>
      <c r="R126" t="s">
        <v>197</v>
      </c>
      <c r="S126" s="1" t="str">
        <f t="shared" si="9"/>
        <v/>
      </c>
      <c r="T126" s="1"/>
      <c r="U126" s="35" t="str">
        <f t="shared" si="8"/>
        <v/>
      </c>
      <c r="V126" s="32"/>
    </row>
    <row r="127" spans="12:22" x14ac:dyDescent="0.25">
      <c r="L127" s="26">
        <v>124</v>
      </c>
      <c r="M127" t="s">
        <v>196</v>
      </c>
      <c r="N127" s="1" t="str">
        <f t="shared" si="6"/>
        <v/>
      </c>
      <c r="O127" s="31"/>
      <c r="P127" s="34" t="str">
        <f t="shared" si="7"/>
        <v/>
      </c>
      <c r="R127" t="s">
        <v>196</v>
      </c>
      <c r="S127" s="1" t="str">
        <f t="shared" si="9"/>
        <v/>
      </c>
      <c r="T127" s="1"/>
      <c r="U127" s="35" t="str">
        <f t="shared" si="8"/>
        <v/>
      </c>
      <c r="V127" s="32"/>
    </row>
    <row r="128" spans="12:22" x14ac:dyDescent="0.25">
      <c r="L128" s="26">
        <v>125</v>
      </c>
      <c r="M128" t="s">
        <v>195</v>
      </c>
      <c r="N128" s="1" t="str">
        <f t="shared" si="6"/>
        <v/>
      </c>
      <c r="O128" s="31"/>
      <c r="P128" s="34" t="str">
        <f t="shared" si="7"/>
        <v/>
      </c>
      <c r="R128" t="s">
        <v>195</v>
      </c>
      <c r="S128" s="1" t="str">
        <f t="shared" si="9"/>
        <v/>
      </c>
      <c r="T128" s="1"/>
      <c r="U128" s="35" t="str">
        <f t="shared" si="8"/>
        <v/>
      </c>
      <c r="V128" s="32"/>
    </row>
    <row r="129" spans="12:22" x14ac:dyDescent="0.25">
      <c r="L129" s="26">
        <v>126</v>
      </c>
      <c r="M129" t="s">
        <v>194</v>
      </c>
      <c r="N129" s="1" t="str">
        <f t="shared" si="6"/>
        <v/>
      </c>
      <c r="O129" s="31"/>
      <c r="P129" s="34" t="str">
        <f t="shared" si="7"/>
        <v/>
      </c>
      <c r="R129" t="s">
        <v>194</v>
      </c>
      <c r="S129" s="1" t="str">
        <f t="shared" si="9"/>
        <v/>
      </c>
      <c r="T129" s="1"/>
      <c r="U129" s="35" t="str">
        <f t="shared" si="8"/>
        <v/>
      </c>
      <c r="V129" s="32"/>
    </row>
    <row r="130" spans="12:22" x14ac:dyDescent="0.25">
      <c r="L130" s="26">
        <v>127</v>
      </c>
      <c r="M130" t="s">
        <v>193</v>
      </c>
      <c r="N130" s="1" t="str">
        <f t="shared" si="6"/>
        <v/>
      </c>
      <c r="O130" s="31"/>
      <c r="P130" s="34" t="str">
        <f t="shared" si="7"/>
        <v/>
      </c>
      <c r="R130" t="s">
        <v>193</v>
      </c>
      <c r="S130" s="1" t="str">
        <f t="shared" si="9"/>
        <v/>
      </c>
      <c r="T130" s="1"/>
      <c r="U130" s="35" t="str">
        <f t="shared" si="8"/>
        <v/>
      </c>
      <c r="V130" s="32"/>
    </row>
    <row r="131" spans="12:22" x14ac:dyDescent="0.25">
      <c r="L131" s="26">
        <v>128</v>
      </c>
      <c r="M131" t="s">
        <v>192</v>
      </c>
      <c r="N131" s="1" t="str">
        <f t="shared" si="6"/>
        <v/>
      </c>
      <c r="O131" s="31"/>
      <c r="P131" s="34" t="str">
        <f t="shared" si="7"/>
        <v/>
      </c>
      <c r="R131" t="s">
        <v>192</v>
      </c>
      <c r="S131" s="1" t="str">
        <f t="shared" si="9"/>
        <v/>
      </c>
      <c r="T131" s="1"/>
      <c r="U131" s="35" t="str">
        <f t="shared" si="8"/>
        <v/>
      </c>
      <c r="V131" s="32"/>
    </row>
    <row r="132" spans="12:22" x14ac:dyDescent="0.25">
      <c r="L132" s="26">
        <v>129</v>
      </c>
      <c r="M132" t="s">
        <v>191</v>
      </c>
      <c r="N132" s="1" t="str">
        <f t="shared" si="6"/>
        <v/>
      </c>
      <c r="O132" s="31"/>
      <c r="P132" s="34" t="str">
        <f t="shared" si="7"/>
        <v/>
      </c>
      <c r="R132" t="s">
        <v>191</v>
      </c>
      <c r="S132" s="1" t="str">
        <f t="shared" si="9"/>
        <v/>
      </c>
      <c r="T132" s="1"/>
      <c r="U132" s="35" t="str">
        <f t="shared" si="8"/>
        <v/>
      </c>
      <c r="V132" s="32"/>
    </row>
    <row r="133" spans="12:22" x14ac:dyDescent="0.25">
      <c r="L133" s="26">
        <v>130</v>
      </c>
      <c r="M133" t="s">
        <v>190</v>
      </c>
      <c r="N133" s="1" t="str">
        <f t="shared" ref="N133:N196" si="10">IF(L133&gt;$I$2,"",F133/$D$3-1)</f>
        <v/>
      </c>
      <c r="O133" s="31"/>
      <c r="P133" s="34" t="str">
        <f t="shared" ref="P133:P196" si="11">IF(AND(L133&lt;=$I$2,N133&lt;= -0.1),1,"")</f>
        <v/>
      </c>
      <c r="R133" t="s">
        <v>190</v>
      </c>
      <c r="S133" s="1" t="str">
        <f t="shared" si="9"/>
        <v/>
      </c>
      <c r="T133" s="1"/>
      <c r="U133" s="35" t="str">
        <f t="shared" ref="U133:U196" si="12">IF(AND(L133&lt;=$I$2,S133&gt;=0.2),1,"")</f>
        <v/>
      </c>
      <c r="V133" s="32"/>
    </row>
    <row r="134" spans="12:22" x14ac:dyDescent="0.25">
      <c r="L134" s="26">
        <v>131</v>
      </c>
      <c r="M134" t="s">
        <v>189</v>
      </c>
      <c r="N134" s="1" t="str">
        <f t="shared" si="10"/>
        <v/>
      </c>
      <c r="O134" s="31"/>
      <c r="P134" s="34" t="str">
        <f t="shared" si="11"/>
        <v/>
      </c>
      <c r="R134" t="s">
        <v>189</v>
      </c>
      <c r="S134" s="1" t="str">
        <f t="shared" si="9"/>
        <v/>
      </c>
      <c r="T134" s="1"/>
      <c r="U134" s="35" t="str">
        <f t="shared" si="12"/>
        <v/>
      </c>
      <c r="V134" s="32"/>
    </row>
    <row r="135" spans="12:22" x14ac:dyDescent="0.25">
      <c r="L135" s="26">
        <v>132</v>
      </c>
      <c r="M135" t="s">
        <v>188</v>
      </c>
      <c r="N135" s="1" t="str">
        <f t="shared" si="10"/>
        <v/>
      </c>
      <c r="O135" s="31"/>
      <c r="P135" s="34" t="str">
        <f t="shared" si="11"/>
        <v/>
      </c>
      <c r="R135" t="s">
        <v>188</v>
      </c>
      <c r="S135" s="1" t="str">
        <f t="shared" si="9"/>
        <v/>
      </c>
      <c r="T135" s="1"/>
      <c r="U135" s="35" t="str">
        <f t="shared" si="12"/>
        <v/>
      </c>
      <c r="V135" s="32"/>
    </row>
    <row r="136" spans="12:22" x14ac:dyDescent="0.25">
      <c r="L136" s="26">
        <v>133</v>
      </c>
      <c r="M136" t="s">
        <v>187</v>
      </c>
      <c r="N136" s="1" t="str">
        <f t="shared" si="10"/>
        <v/>
      </c>
      <c r="O136" s="31"/>
      <c r="P136" s="34" t="str">
        <f t="shared" si="11"/>
        <v/>
      </c>
      <c r="R136" t="s">
        <v>187</v>
      </c>
      <c r="S136" s="1" t="str">
        <f t="shared" si="9"/>
        <v/>
      </c>
      <c r="T136" s="1"/>
      <c r="U136" s="35" t="str">
        <f t="shared" si="12"/>
        <v/>
      </c>
      <c r="V136" s="32"/>
    </row>
    <row r="137" spans="12:22" x14ac:dyDescent="0.25">
      <c r="L137" s="26">
        <v>134</v>
      </c>
      <c r="M137" t="s">
        <v>186</v>
      </c>
      <c r="N137" s="1" t="str">
        <f t="shared" si="10"/>
        <v/>
      </c>
      <c r="O137" s="31"/>
      <c r="P137" s="34" t="str">
        <f t="shared" si="11"/>
        <v/>
      </c>
      <c r="R137" t="s">
        <v>186</v>
      </c>
      <c r="S137" s="1" t="str">
        <f t="shared" si="9"/>
        <v/>
      </c>
      <c r="T137" s="1"/>
      <c r="U137" s="35" t="str">
        <f t="shared" si="12"/>
        <v/>
      </c>
      <c r="V137" s="32"/>
    </row>
    <row r="138" spans="12:22" x14ac:dyDescent="0.25">
      <c r="L138" s="26">
        <v>135</v>
      </c>
      <c r="M138" t="s">
        <v>185</v>
      </c>
      <c r="N138" s="1" t="str">
        <f t="shared" si="10"/>
        <v/>
      </c>
      <c r="O138" s="31"/>
      <c r="P138" s="34" t="str">
        <f t="shared" si="11"/>
        <v/>
      </c>
      <c r="R138" t="s">
        <v>185</v>
      </c>
      <c r="S138" s="1" t="str">
        <f t="shared" si="9"/>
        <v/>
      </c>
      <c r="T138" s="1"/>
      <c r="U138" s="35" t="str">
        <f t="shared" si="12"/>
        <v/>
      </c>
      <c r="V138" s="32"/>
    </row>
    <row r="139" spans="12:22" x14ac:dyDescent="0.25">
      <c r="L139" s="26">
        <v>136</v>
      </c>
      <c r="M139" t="s">
        <v>184</v>
      </c>
      <c r="N139" s="1" t="str">
        <f t="shared" si="10"/>
        <v/>
      </c>
      <c r="O139" s="31"/>
      <c r="P139" s="34" t="str">
        <f t="shared" si="11"/>
        <v/>
      </c>
      <c r="R139" t="s">
        <v>184</v>
      </c>
      <c r="S139" s="1" t="str">
        <f t="shared" si="9"/>
        <v/>
      </c>
      <c r="T139" s="1"/>
      <c r="U139" s="35" t="str">
        <f t="shared" si="12"/>
        <v/>
      </c>
      <c r="V139" s="32"/>
    </row>
    <row r="140" spans="12:22" x14ac:dyDescent="0.25">
      <c r="L140" s="26">
        <v>137</v>
      </c>
      <c r="M140" t="s">
        <v>183</v>
      </c>
      <c r="N140" s="1" t="str">
        <f t="shared" si="10"/>
        <v/>
      </c>
      <c r="O140" s="31"/>
      <c r="P140" s="34" t="str">
        <f t="shared" si="11"/>
        <v/>
      </c>
      <c r="R140" t="s">
        <v>183</v>
      </c>
      <c r="S140" s="1" t="str">
        <f t="shared" si="9"/>
        <v/>
      </c>
      <c r="T140" s="1"/>
      <c r="U140" s="35" t="str">
        <f t="shared" si="12"/>
        <v/>
      </c>
      <c r="V140" s="32"/>
    </row>
    <row r="141" spans="12:22" x14ac:dyDescent="0.25">
      <c r="L141" s="26">
        <v>138</v>
      </c>
      <c r="M141" t="s">
        <v>182</v>
      </c>
      <c r="N141" s="1" t="str">
        <f t="shared" si="10"/>
        <v/>
      </c>
      <c r="O141" s="31"/>
      <c r="P141" s="34" t="str">
        <f t="shared" si="11"/>
        <v/>
      </c>
      <c r="R141" t="s">
        <v>182</v>
      </c>
      <c r="S141" s="1" t="str">
        <f t="shared" si="9"/>
        <v/>
      </c>
      <c r="T141" s="1"/>
      <c r="U141" s="35" t="str">
        <f t="shared" si="12"/>
        <v/>
      </c>
      <c r="V141" s="32"/>
    </row>
    <row r="142" spans="12:22" x14ac:dyDescent="0.25">
      <c r="L142" s="26">
        <v>139</v>
      </c>
      <c r="M142" t="s">
        <v>181</v>
      </c>
      <c r="N142" s="1" t="str">
        <f t="shared" si="10"/>
        <v/>
      </c>
      <c r="O142" s="31"/>
      <c r="P142" s="34" t="str">
        <f t="shared" si="11"/>
        <v/>
      </c>
      <c r="R142" t="s">
        <v>181</v>
      </c>
      <c r="S142" s="1" t="str">
        <f t="shared" si="9"/>
        <v/>
      </c>
      <c r="T142" s="1"/>
      <c r="U142" s="35" t="str">
        <f t="shared" si="12"/>
        <v/>
      </c>
      <c r="V142" s="32"/>
    </row>
    <row r="143" spans="12:22" x14ac:dyDescent="0.25">
      <c r="L143" s="26">
        <v>140</v>
      </c>
      <c r="M143" t="s">
        <v>180</v>
      </c>
      <c r="N143" s="1" t="str">
        <f t="shared" si="10"/>
        <v/>
      </c>
      <c r="O143" s="31"/>
      <c r="P143" s="34" t="str">
        <f t="shared" si="11"/>
        <v/>
      </c>
      <c r="R143" t="s">
        <v>180</v>
      </c>
      <c r="S143" s="1" t="str">
        <f t="shared" si="9"/>
        <v/>
      </c>
      <c r="T143" s="1"/>
      <c r="U143" s="35" t="str">
        <f t="shared" si="12"/>
        <v/>
      </c>
      <c r="V143" s="32"/>
    </row>
    <row r="144" spans="12:22" x14ac:dyDescent="0.25">
      <c r="L144" s="26">
        <v>141</v>
      </c>
      <c r="M144" t="s">
        <v>179</v>
      </c>
      <c r="N144" s="1" t="str">
        <f t="shared" si="10"/>
        <v/>
      </c>
      <c r="O144" s="31"/>
      <c r="P144" s="34" t="str">
        <f t="shared" si="11"/>
        <v/>
      </c>
      <c r="R144" t="s">
        <v>179</v>
      </c>
      <c r="S144" s="1" t="str">
        <f t="shared" si="9"/>
        <v/>
      </c>
      <c r="T144" s="1"/>
      <c r="U144" s="35" t="str">
        <f t="shared" si="12"/>
        <v/>
      </c>
      <c r="V144" s="32"/>
    </row>
    <row r="145" spans="12:22" x14ac:dyDescent="0.25">
      <c r="L145" s="26">
        <v>142</v>
      </c>
      <c r="M145" t="s">
        <v>178</v>
      </c>
      <c r="N145" s="1" t="str">
        <f t="shared" si="10"/>
        <v/>
      </c>
      <c r="O145" s="31"/>
      <c r="P145" s="34" t="str">
        <f t="shared" si="11"/>
        <v/>
      </c>
      <c r="R145" t="s">
        <v>178</v>
      </c>
      <c r="S145" s="1" t="str">
        <f t="shared" si="9"/>
        <v/>
      </c>
      <c r="T145" s="1"/>
      <c r="U145" s="35" t="str">
        <f t="shared" si="12"/>
        <v/>
      </c>
      <c r="V145" s="32"/>
    </row>
    <row r="146" spans="12:22" x14ac:dyDescent="0.25">
      <c r="L146" s="26">
        <v>143</v>
      </c>
      <c r="M146" t="s">
        <v>177</v>
      </c>
      <c r="N146" s="1" t="str">
        <f t="shared" si="10"/>
        <v/>
      </c>
      <c r="O146" s="31"/>
      <c r="P146" s="34" t="str">
        <f t="shared" si="11"/>
        <v/>
      </c>
      <c r="R146" t="s">
        <v>177</v>
      </c>
      <c r="S146" s="1" t="str">
        <f t="shared" si="9"/>
        <v/>
      </c>
      <c r="T146" s="1"/>
      <c r="U146" s="35" t="str">
        <f t="shared" si="12"/>
        <v/>
      </c>
      <c r="V146" s="32"/>
    </row>
    <row r="147" spans="12:22" x14ac:dyDescent="0.25">
      <c r="L147" s="26">
        <v>144</v>
      </c>
      <c r="M147" t="s">
        <v>176</v>
      </c>
      <c r="N147" s="1" t="str">
        <f t="shared" si="10"/>
        <v/>
      </c>
      <c r="O147" s="31"/>
      <c r="P147" s="34" t="str">
        <f t="shared" si="11"/>
        <v/>
      </c>
      <c r="R147" t="s">
        <v>176</v>
      </c>
      <c r="S147" s="1" t="str">
        <f t="shared" si="9"/>
        <v/>
      </c>
      <c r="T147" s="1"/>
      <c r="U147" s="35" t="str">
        <f t="shared" si="12"/>
        <v/>
      </c>
      <c r="V147" s="32"/>
    </row>
    <row r="148" spans="12:22" x14ac:dyDescent="0.25">
      <c r="L148" s="26">
        <v>145</v>
      </c>
      <c r="M148" t="s">
        <v>175</v>
      </c>
      <c r="N148" s="1" t="str">
        <f t="shared" si="10"/>
        <v/>
      </c>
      <c r="O148" s="31"/>
      <c r="P148" s="34" t="str">
        <f t="shared" si="11"/>
        <v/>
      </c>
      <c r="R148" t="s">
        <v>175</v>
      </c>
      <c r="S148" s="1" t="str">
        <f t="shared" si="9"/>
        <v/>
      </c>
      <c r="T148" s="1"/>
      <c r="U148" s="35" t="str">
        <f t="shared" si="12"/>
        <v/>
      </c>
      <c r="V148" s="32"/>
    </row>
    <row r="149" spans="12:22" x14ac:dyDescent="0.25">
      <c r="L149" s="26">
        <v>146</v>
      </c>
      <c r="M149" t="s">
        <v>174</v>
      </c>
      <c r="N149" s="1" t="str">
        <f t="shared" si="10"/>
        <v/>
      </c>
      <c r="O149" s="31"/>
      <c r="P149" s="34" t="str">
        <f t="shared" si="11"/>
        <v/>
      </c>
      <c r="R149" t="s">
        <v>174</v>
      </c>
      <c r="S149" s="1" t="str">
        <f t="shared" si="9"/>
        <v/>
      </c>
      <c r="T149" s="1"/>
      <c r="U149" s="35" t="str">
        <f t="shared" si="12"/>
        <v/>
      </c>
      <c r="V149" s="32"/>
    </row>
    <row r="150" spans="12:22" x14ac:dyDescent="0.25">
      <c r="L150" s="26">
        <v>147</v>
      </c>
      <c r="M150" t="s">
        <v>173</v>
      </c>
      <c r="N150" s="1" t="str">
        <f t="shared" si="10"/>
        <v/>
      </c>
      <c r="O150" s="31"/>
      <c r="P150" s="34" t="str">
        <f t="shared" si="11"/>
        <v/>
      </c>
      <c r="R150" t="s">
        <v>173</v>
      </c>
      <c r="S150" s="1" t="str">
        <f t="shared" si="9"/>
        <v/>
      </c>
      <c r="T150" s="1"/>
      <c r="U150" s="35" t="str">
        <f t="shared" si="12"/>
        <v/>
      </c>
      <c r="V150" s="32"/>
    </row>
    <row r="151" spans="12:22" x14ac:dyDescent="0.25">
      <c r="L151" s="26">
        <v>148</v>
      </c>
      <c r="M151" t="s">
        <v>172</v>
      </c>
      <c r="N151" s="1" t="str">
        <f t="shared" si="10"/>
        <v/>
      </c>
      <c r="O151" s="31"/>
      <c r="P151" s="34" t="str">
        <f t="shared" si="11"/>
        <v/>
      </c>
      <c r="R151" t="s">
        <v>172</v>
      </c>
      <c r="S151" s="1" t="str">
        <f t="shared" si="9"/>
        <v/>
      </c>
      <c r="T151" s="1"/>
      <c r="U151" s="35" t="str">
        <f t="shared" si="12"/>
        <v/>
      </c>
      <c r="V151" s="32"/>
    </row>
    <row r="152" spans="12:22" x14ac:dyDescent="0.25">
      <c r="L152" s="26">
        <v>149</v>
      </c>
      <c r="M152" t="s">
        <v>171</v>
      </c>
      <c r="N152" s="1" t="str">
        <f t="shared" si="10"/>
        <v/>
      </c>
      <c r="O152" s="31"/>
      <c r="P152" s="34" t="str">
        <f t="shared" si="11"/>
        <v/>
      </c>
      <c r="R152" t="s">
        <v>171</v>
      </c>
      <c r="S152" s="1" t="str">
        <f t="shared" ref="S152:S215" si="13">IF(L152&gt;$I$2,"",E152/$D$3-1)</f>
        <v/>
      </c>
      <c r="T152" s="1"/>
      <c r="U152" s="35" t="str">
        <f t="shared" si="12"/>
        <v/>
      </c>
      <c r="V152" s="32"/>
    </row>
    <row r="153" spans="12:22" x14ac:dyDescent="0.25">
      <c r="L153" s="26">
        <v>150</v>
      </c>
      <c r="M153" t="s">
        <v>170</v>
      </c>
      <c r="N153" s="1" t="str">
        <f t="shared" si="10"/>
        <v/>
      </c>
      <c r="O153" s="31"/>
      <c r="P153" s="34" t="str">
        <f t="shared" si="11"/>
        <v/>
      </c>
      <c r="R153" t="s">
        <v>170</v>
      </c>
      <c r="S153" s="1" t="str">
        <f t="shared" si="13"/>
        <v/>
      </c>
      <c r="T153" s="1"/>
      <c r="U153" s="35" t="str">
        <f t="shared" si="12"/>
        <v/>
      </c>
      <c r="V153" s="32"/>
    </row>
    <row r="154" spans="12:22" x14ac:dyDescent="0.25">
      <c r="L154" s="26">
        <v>151</v>
      </c>
      <c r="M154" t="s">
        <v>169</v>
      </c>
      <c r="N154" s="1" t="str">
        <f t="shared" si="10"/>
        <v/>
      </c>
      <c r="O154" s="31"/>
      <c r="P154" s="34" t="str">
        <f t="shared" si="11"/>
        <v/>
      </c>
      <c r="R154" t="s">
        <v>169</v>
      </c>
      <c r="S154" s="1" t="str">
        <f t="shared" si="13"/>
        <v/>
      </c>
      <c r="T154" s="1"/>
      <c r="U154" s="35" t="str">
        <f t="shared" si="12"/>
        <v/>
      </c>
      <c r="V154" s="32"/>
    </row>
    <row r="155" spans="12:22" x14ac:dyDescent="0.25">
      <c r="L155" s="26">
        <v>152</v>
      </c>
      <c r="M155" t="s">
        <v>168</v>
      </c>
      <c r="N155" s="1" t="str">
        <f t="shared" si="10"/>
        <v/>
      </c>
      <c r="O155" s="31"/>
      <c r="P155" s="34" t="str">
        <f t="shared" si="11"/>
        <v/>
      </c>
      <c r="R155" t="s">
        <v>168</v>
      </c>
      <c r="S155" s="1" t="str">
        <f t="shared" si="13"/>
        <v/>
      </c>
      <c r="T155" s="1"/>
      <c r="U155" s="35" t="str">
        <f t="shared" si="12"/>
        <v/>
      </c>
      <c r="V155" s="32"/>
    </row>
    <row r="156" spans="12:22" x14ac:dyDescent="0.25">
      <c r="L156" s="26">
        <v>153</v>
      </c>
      <c r="M156" t="s">
        <v>167</v>
      </c>
      <c r="N156" s="1" t="str">
        <f t="shared" si="10"/>
        <v/>
      </c>
      <c r="O156" s="31"/>
      <c r="P156" s="34" t="str">
        <f t="shared" si="11"/>
        <v/>
      </c>
      <c r="R156" t="s">
        <v>167</v>
      </c>
      <c r="S156" s="1" t="str">
        <f t="shared" si="13"/>
        <v/>
      </c>
      <c r="T156" s="1"/>
      <c r="U156" s="35" t="str">
        <f t="shared" si="12"/>
        <v/>
      </c>
      <c r="V156" s="32"/>
    </row>
    <row r="157" spans="12:22" x14ac:dyDescent="0.25">
      <c r="L157" s="26">
        <v>154</v>
      </c>
      <c r="M157" t="s">
        <v>166</v>
      </c>
      <c r="N157" s="1" t="str">
        <f t="shared" si="10"/>
        <v/>
      </c>
      <c r="O157" s="31"/>
      <c r="P157" s="34" t="str">
        <f t="shared" si="11"/>
        <v/>
      </c>
      <c r="R157" t="s">
        <v>166</v>
      </c>
      <c r="S157" s="1" t="str">
        <f t="shared" si="13"/>
        <v/>
      </c>
      <c r="T157" s="1"/>
      <c r="U157" s="35" t="str">
        <f t="shared" si="12"/>
        <v/>
      </c>
      <c r="V157" s="32"/>
    </row>
    <row r="158" spans="12:22" x14ac:dyDescent="0.25">
      <c r="L158" s="26">
        <v>155</v>
      </c>
      <c r="M158" t="s">
        <v>165</v>
      </c>
      <c r="N158" s="1" t="str">
        <f t="shared" si="10"/>
        <v/>
      </c>
      <c r="O158" s="31"/>
      <c r="P158" s="34" t="str">
        <f t="shared" si="11"/>
        <v/>
      </c>
      <c r="R158" t="s">
        <v>165</v>
      </c>
      <c r="S158" s="1" t="str">
        <f t="shared" si="13"/>
        <v/>
      </c>
      <c r="T158" s="1"/>
      <c r="U158" s="35" t="str">
        <f t="shared" si="12"/>
        <v/>
      </c>
      <c r="V158" s="32"/>
    </row>
    <row r="159" spans="12:22" x14ac:dyDescent="0.25">
      <c r="L159" s="26">
        <v>156</v>
      </c>
      <c r="M159" t="s">
        <v>164</v>
      </c>
      <c r="N159" s="1" t="str">
        <f t="shared" si="10"/>
        <v/>
      </c>
      <c r="O159" s="31"/>
      <c r="P159" s="34" t="str">
        <f t="shared" si="11"/>
        <v/>
      </c>
      <c r="R159" t="s">
        <v>164</v>
      </c>
      <c r="S159" s="1" t="str">
        <f t="shared" si="13"/>
        <v/>
      </c>
      <c r="T159" s="1"/>
      <c r="U159" s="35" t="str">
        <f t="shared" si="12"/>
        <v/>
      </c>
      <c r="V159" s="32"/>
    </row>
    <row r="160" spans="12:22" x14ac:dyDescent="0.25">
      <c r="L160" s="26">
        <v>157</v>
      </c>
      <c r="M160" t="s">
        <v>163</v>
      </c>
      <c r="N160" s="1" t="str">
        <f t="shared" si="10"/>
        <v/>
      </c>
      <c r="O160" s="31"/>
      <c r="P160" s="34" t="str">
        <f t="shared" si="11"/>
        <v/>
      </c>
      <c r="R160" t="s">
        <v>163</v>
      </c>
      <c r="S160" s="1" t="str">
        <f t="shared" si="13"/>
        <v/>
      </c>
      <c r="T160" s="1"/>
      <c r="U160" s="35" t="str">
        <f t="shared" si="12"/>
        <v/>
      </c>
      <c r="V160" s="32"/>
    </row>
    <row r="161" spans="12:22" x14ac:dyDescent="0.25">
      <c r="L161" s="26">
        <v>158</v>
      </c>
      <c r="M161" t="s">
        <v>162</v>
      </c>
      <c r="N161" s="1" t="str">
        <f t="shared" si="10"/>
        <v/>
      </c>
      <c r="O161" s="31"/>
      <c r="P161" s="34" t="str">
        <f t="shared" si="11"/>
        <v/>
      </c>
      <c r="R161" t="s">
        <v>162</v>
      </c>
      <c r="S161" s="1" t="str">
        <f t="shared" si="13"/>
        <v/>
      </c>
      <c r="T161" s="1"/>
      <c r="U161" s="35" t="str">
        <f t="shared" si="12"/>
        <v/>
      </c>
      <c r="V161" s="32"/>
    </row>
    <row r="162" spans="12:22" x14ac:dyDescent="0.25">
      <c r="L162" s="26">
        <v>159</v>
      </c>
      <c r="M162" t="s">
        <v>161</v>
      </c>
      <c r="N162" s="1" t="str">
        <f t="shared" si="10"/>
        <v/>
      </c>
      <c r="O162" s="31"/>
      <c r="P162" s="34" t="str">
        <f t="shared" si="11"/>
        <v/>
      </c>
      <c r="R162" t="s">
        <v>161</v>
      </c>
      <c r="S162" s="1" t="str">
        <f t="shared" si="13"/>
        <v/>
      </c>
      <c r="T162" s="1"/>
      <c r="U162" s="35" t="str">
        <f t="shared" si="12"/>
        <v/>
      </c>
      <c r="V162" s="32"/>
    </row>
    <row r="163" spans="12:22" x14ac:dyDescent="0.25">
      <c r="L163" s="26">
        <v>160</v>
      </c>
      <c r="M163" t="s">
        <v>160</v>
      </c>
      <c r="N163" s="1" t="str">
        <f t="shared" si="10"/>
        <v/>
      </c>
      <c r="O163" s="31"/>
      <c r="P163" s="34" t="str">
        <f t="shared" si="11"/>
        <v/>
      </c>
      <c r="R163" t="s">
        <v>160</v>
      </c>
      <c r="S163" s="1" t="str">
        <f t="shared" si="13"/>
        <v/>
      </c>
      <c r="T163" s="1"/>
      <c r="U163" s="35" t="str">
        <f t="shared" si="12"/>
        <v/>
      </c>
      <c r="V163" s="32"/>
    </row>
    <row r="164" spans="12:22" x14ac:dyDescent="0.25">
      <c r="L164" s="26">
        <v>161</v>
      </c>
      <c r="M164" t="s">
        <v>159</v>
      </c>
      <c r="N164" s="1" t="str">
        <f t="shared" si="10"/>
        <v/>
      </c>
      <c r="O164" s="31"/>
      <c r="P164" s="34" t="str">
        <f t="shared" si="11"/>
        <v/>
      </c>
      <c r="R164" t="s">
        <v>159</v>
      </c>
      <c r="S164" s="1" t="str">
        <f t="shared" si="13"/>
        <v/>
      </c>
      <c r="T164" s="1"/>
      <c r="U164" s="35" t="str">
        <f t="shared" si="12"/>
        <v/>
      </c>
      <c r="V164" s="32"/>
    </row>
    <row r="165" spans="12:22" x14ac:dyDescent="0.25">
      <c r="L165" s="26">
        <v>162</v>
      </c>
      <c r="M165" t="s">
        <v>158</v>
      </c>
      <c r="N165" s="1" t="str">
        <f t="shared" si="10"/>
        <v/>
      </c>
      <c r="O165" s="31"/>
      <c r="P165" s="34" t="str">
        <f t="shared" si="11"/>
        <v/>
      </c>
      <c r="R165" t="s">
        <v>158</v>
      </c>
      <c r="S165" s="1" t="str">
        <f t="shared" si="13"/>
        <v/>
      </c>
      <c r="T165" s="1"/>
      <c r="U165" s="35" t="str">
        <f t="shared" si="12"/>
        <v/>
      </c>
      <c r="V165" s="32"/>
    </row>
    <row r="166" spans="12:22" x14ac:dyDescent="0.25">
      <c r="L166" s="26">
        <v>163</v>
      </c>
      <c r="M166" t="s">
        <v>157</v>
      </c>
      <c r="N166" s="1" t="str">
        <f t="shared" si="10"/>
        <v/>
      </c>
      <c r="O166" s="31"/>
      <c r="P166" s="34" t="str">
        <f t="shared" si="11"/>
        <v/>
      </c>
      <c r="R166" t="s">
        <v>157</v>
      </c>
      <c r="S166" s="1" t="str">
        <f t="shared" si="13"/>
        <v/>
      </c>
      <c r="T166" s="1"/>
      <c r="U166" s="35" t="str">
        <f t="shared" si="12"/>
        <v/>
      </c>
      <c r="V166" s="32"/>
    </row>
    <row r="167" spans="12:22" x14ac:dyDescent="0.25">
      <c r="L167" s="26">
        <v>164</v>
      </c>
      <c r="M167" t="s">
        <v>156</v>
      </c>
      <c r="N167" s="1" t="str">
        <f t="shared" si="10"/>
        <v/>
      </c>
      <c r="O167" s="31"/>
      <c r="P167" s="34" t="str">
        <f t="shared" si="11"/>
        <v/>
      </c>
      <c r="R167" t="s">
        <v>156</v>
      </c>
      <c r="S167" s="1" t="str">
        <f t="shared" si="13"/>
        <v/>
      </c>
      <c r="T167" s="1"/>
      <c r="U167" s="35" t="str">
        <f t="shared" si="12"/>
        <v/>
      </c>
      <c r="V167" s="32"/>
    </row>
    <row r="168" spans="12:22" x14ac:dyDescent="0.25">
      <c r="L168" s="26">
        <v>165</v>
      </c>
      <c r="M168" t="s">
        <v>155</v>
      </c>
      <c r="N168" s="1" t="str">
        <f t="shared" si="10"/>
        <v/>
      </c>
      <c r="O168" s="31"/>
      <c r="P168" s="34" t="str">
        <f t="shared" si="11"/>
        <v/>
      </c>
      <c r="R168" t="s">
        <v>155</v>
      </c>
      <c r="S168" s="1" t="str">
        <f t="shared" si="13"/>
        <v/>
      </c>
      <c r="T168" s="1"/>
      <c r="U168" s="35" t="str">
        <f t="shared" si="12"/>
        <v/>
      </c>
      <c r="V168" s="32"/>
    </row>
    <row r="169" spans="12:22" x14ac:dyDescent="0.25">
      <c r="L169" s="26">
        <v>166</v>
      </c>
      <c r="M169" t="s">
        <v>154</v>
      </c>
      <c r="N169" s="1" t="str">
        <f t="shared" si="10"/>
        <v/>
      </c>
      <c r="O169" s="31"/>
      <c r="P169" s="34" t="str">
        <f t="shared" si="11"/>
        <v/>
      </c>
      <c r="R169" t="s">
        <v>154</v>
      </c>
      <c r="S169" s="1" t="str">
        <f t="shared" si="13"/>
        <v/>
      </c>
      <c r="T169" s="1"/>
      <c r="U169" s="35" t="str">
        <f t="shared" si="12"/>
        <v/>
      </c>
      <c r="V169" s="32"/>
    </row>
    <row r="170" spans="12:22" x14ac:dyDescent="0.25">
      <c r="L170" s="26">
        <v>167</v>
      </c>
      <c r="M170" t="s">
        <v>153</v>
      </c>
      <c r="N170" s="1" t="str">
        <f t="shared" si="10"/>
        <v/>
      </c>
      <c r="O170" s="31"/>
      <c r="P170" s="34" t="str">
        <f t="shared" si="11"/>
        <v/>
      </c>
      <c r="R170" t="s">
        <v>153</v>
      </c>
      <c r="S170" s="1" t="str">
        <f t="shared" si="13"/>
        <v/>
      </c>
      <c r="T170" s="1"/>
      <c r="U170" s="35" t="str">
        <f t="shared" si="12"/>
        <v/>
      </c>
      <c r="V170" s="32"/>
    </row>
    <row r="171" spans="12:22" x14ac:dyDescent="0.25">
      <c r="L171" s="26">
        <v>168</v>
      </c>
      <c r="M171" t="s">
        <v>152</v>
      </c>
      <c r="N171" s="1" t="str">
        <f t="shared" si="10"/>
        <v/>
      </c>
      <c r="O171" s="31"/>
      <c r="P171" s="34" t="str">
        <f t="shared" si="11"/>
        <v/>
      </c>
      <c r="R171" t="s">
        <v>152</v>
      </c>
      <c r="S171" s="1" t="str">
        <f t="shared" si="13"/>
        <v/>
      </c>
      <c r="T171" s="1"/>
      <c r="U171" s="35" t="str">
        <f t="shared" si="12"/>
        <v/>
      </c>
      <c r="V171" s="32"/>
    </row>
    <row r="172" spans="12:22" x14ac:dyDescent="0.25">
      <c r="L172" s="26">
        <v>169</v>
      </c>
      <c r="M172" t="s">
        <v>151</v>
      </c>
      <c r="N172" s="1" t="str">
        <f t="shared" si="10"/>
        <v/>
      </c>
      <c r="O172" s="31"/>
      <c r="P172" s="34" t="str">
        <f t="shared" si="11"/>
        <v/>
      </c>
      <c r="R172" t="s">
        <v>151</v>
      </c>
      <c r="S172" s="1" t="str">
        <f t="shared" si="13"/>
        <v/>
      </c>
      <c r="T172" s="1"/>
      <c r="U172" s="35" t="str">
        <f t="shared" si="12"/>
        <v/>
      </c>
      <c r="V172" s="32"/>
    </row>
    <row r="173" spans="12:22" x14ac:dyDescent="0.25">
      <c r="L173" s="26">
        <v>170</v>
      </c>
      <c r="M173" t="s">
        <v>150</v>
      </c>
      <c r="N173" s="1" t="str">
        <f t="shared" si="10"/>
        <v/>
      </c>
      <c r="O173" s="31"/>
      <c r="P173" s="34" t="str">
        <f t="shared" si="11"/>
        <v/>
      </c>
      <c r="R173" t="s">
        <v>150</v>
      </c>
      <c r="S173" s="1" t="str">
        <f t="shared" si="13"/>
        <v/>
      </c>
      <c r="T173" s="1"/>
      <c r="U173" s="35" t="str">
        <f t="shared" si="12"/>
        <v/>
      </c>
      <c r="V173" s="32"/>
    </row>
    <row r="174" spans="12:22" x14ac:dyDescent="0.25">
      <c r="L174" s="26">
        <v>171</v>
      </c>
      <c r="M174" t="s">
        <v>149</v>
      </c>
      <c r="N174" s="1" t="str">
        <f t="shared" si="10"/>
        <v/>
      </c>
      <c r="O174" s="31"/>
      <c r="P174" s="34" t="str">
        <f t="shared" si="11"/>
        <v/>
      </c>
      <c r="R174" t="s">
        <v>149</v>
      </c>
      <c r="S174" s="1" t="str">
        <f t="shared" si="13"/>
        <v/>
      </c>
      <c r="T174" s="1"/>
      <c r="U174" s="35" t="str">
        <f t="shared" si="12"/>
        <v/>
      </c>
      <c r="V174" s="32"/>
    </row>
    <row r="175" spans="12:22" x14ac:dyDescent="0.25">
      <c r="L175" s="26">
        <v>172</v>
      </c>
      <c r="M175" t="s">
        <v>148</v>
      </c>
      <c r="N175" s="1" t="str">
        <f t="shared" si="10"/>
        <v/>
      </c>
      <c r="O175" s="31"/>
      <c r="P175" s="34" t="str">
        <f t="shared" si="11"/>
        <v/>
      </c>
      <c r="R175" t="s">
        <v>148</v>
      </c>
      <c r="S175" s="1" t="str">
        <f t="shared" si="13"/>
        <v/>
      </c>
      <c r="T175" s="1"/>
      <c r="U175" s="35" t="str">
        <f t="shared" si="12"/>
        <v/>
      </c>
      <c r="V175" s="32"/>
    </row>
    <row r="176" spans="12:22" x14ac:dyDescent="0.25">
      <c r="L176" s="26">
        <v>173</v>
      </c>
      <c r="M176" t="s">
        <v>147</v>
      </c>
      <c r="N176" s="1" t="str">
        <f t="shared" si="10"/>
        <v/>
      </c>
      <c r="O176" s="31"/>
      <c r="P176" s="34" t="str">
        <f t="shared" si="11"/>
        <v/>
      </c>
      <c r="R176" t="s">
        <v>147</v>
      </c>
      <c r="S176" s="1" t="str">
        <f t="shared" si="13"/>
        <v/>
      </c>
      <c r="T176" s="1"/>
      <c r="U176" s="35" t="str">
        <f t="shared" si="12"/>
        <v/>
      </c>
      <c r="V176" s="32"/>
    </row>
    <row r="177" spans="12:22" x14ac:dyDescent="0.25">
      <c r="L177" s="26">
        <v>174</v>
      </c>
      <c r="M177" t="s">
        <v>146</v>
      </c>
      <c r="N177" s="1" t="str">
        <f t="shared" si="10"/>
        <v/>
      </c>
      <c r="O177" s="31"/>
      <c r="P177" s="34" t="str">
        <f t="shared" si="11"/>
        <v/>
      </c>
      <c r="R177" t="s">
        <v>146</v>
      </c>
      <c r="S177" s="1" t="str">
        <f t="shared" si="13"/>
        <v/>
      </c>
      <c r="T177" s="1"/>
      <c r="U177" s="35" t="str">
        <f t="shared" si="12"/>
        <v/>
      </c>
      <c r="V177" s="32"/>
    </row>
    <row r="178" spans="12:22" x14ac:dyDescent="0.25">
      <c r="L178" s="26">
        <v>175</v>
      </c>
      <c r="M178" t="s">
        <v>145</v>
      </c>
      <c r="N178" s="1" t="str">
        <f t="shared" si="10"/>
        <v/>
      </c>
      <c r="O178" s="31"/>
      <c r="P178" s="34" t="str">
        <f t="shared" si="11"/>
        <v/>
      </c>
      <c r="R178" t="s">
        <v>145</v>
      </c>
      <c r="S178" s="1" t="str">
        <f t="shared" si="13"/>
        <v/>
      </c>
      <c r="T178" s="1"/>
      <c r="U178" s="35" t="str">
        <f t="shared" si="12"/>
        <v/>
      </c>
      <c r="V178" s="32"/>
    </row>
    <row r="179" spans="12:22" x14ac:dyDescent="0.25">
      <c r="L179" s="26">
        <v>176</v>
      </c>
      <c r="M179" t="s">
        <v>144</v>
      </c>
      <c r="N179" s="1" t="str">
        <f t="shared" si="10"/>
        <v/>
      </c>
      <c r="O179" s="31"/>
      <c r="P179" s="34" t="str">
        <f t="shared" si="11"/>
        <v/>
      </c>
      <c r="R179" t="s">
        <v>144</v>
      </c>
      <c r="S179" s="1" t="str">
        <f t="shared" si="13"/>
        <v/>
      </c>
      <c r="T179" s="1"/>
      <c r="U179" s="35" t="str">
        <f t="shared" si="12"/>
        <v/>
      </c>
      <c r="V179" s="32"/>
    </row>
    <row r="180" spans="12:22" x14ac:dyDescent="0.25">
      <c r="L180" s="26">
        <v>177</v>
      </c>
      <c r="M180" t="s">
        <v>143</v>
      </c>
      <c r="N180" s="1" t="str">
        <f t="shared" si="10"/>
        <v/>
      </c>
      <c r="O180" s="31"/>
      <c r="P180" s="34" t="str">
        <f t="shared" si="11"/>
        <v/>
      </c>
      <c r="R180" t="s">
        <v>143</v>
      </c>
      <c r="S180" s="1" t="str">
        <f t="shared" si="13"/>
        <v/>
      </c>
      <c r="T180" s="1"/>
      <c r="U180" s="35" t="str">
        <f t="shared" si="12"/>
        <v/>
      </c>
      <c r="V180" s="32"/>
    </row>
    <row r="181" spans="12:22" x14ac:dyDescent="0.25">
      <c r="L181" s="26">
        <v>178</v>
      </c>
      <c r="M181" t="s">
        <v>142</v>
      </c>
      <c r="N181" s="1" t="str">
        <f t="shared" si="10"/>
        <v/>
      </c>
      <c r="O181" s="31"/>
      <c r="P181" s="34" t="str">
        <f t="shared" si="11"/>
        <v/>
      </c>
      <c r="R181" t="s">
        <v>142</v>
      </c>
      <c r="S181" s="1" t="str">
        <f t="shared" si="13"/>
        <v/>
      </c>
      <c r="T181" s="1"/>
      <c r="U181" s="35" t="str">
        <f t="shared" si="12"/>
        <v/>
      </c>
      <c r="V181" s="32"/>
    </row>
    <row r="182" spans="12:22" x14ac:dyDescent="0.25">
      <c r="L182" s="26">
        <v>179</v>
      </c>
      <c r="M182" t="s">
        <v>141</v>
      </c>
      <c r="N182" s="1" t="str">
        <f t="shared" si="10"/>
        <v/>
      </c>
      <c r="O182" s="31"/>
      <c r="P182" s="34" t="str">
        <f t="shared" si="11"/>
        <v/>
      </c>
      <c r="R182" t="s">
        <v>141</v>
      </c>
      <c r="S182" s="1" t="str">
        <f t="shared" si="13"/>
        <v/>
      </c>
      <c r="T182" s="1"/>
      <c r="U182" s="35" t="str">
        <f t="shared" si="12"/>
        <v/>
      </c>
      <c r="V182" s="32"/>
    </row>
    <row r="183" spans="12:22" x14ac:dyDescent="0.25">
      <c r="L183" s="26">
        <v>180</v>
      </c>
      <c r="M183" t="s">
        <v>140</v>
      </c>
      <c r="N183" s="1" t="str">
        <f t="shared" si="10"/>
        <v/>
      </c>
      <c r="O183" s="31"/>
      <c r="P183" s="34" t="str">
        <f t="shared" si="11"/>
        <v/>
      </c>
      <c r="R183" t="s">
        <v>140</v>
      </c>
      <c r="S183" s="1" t="str">
        <f t="shared" si="13"/>
        <v/>
      </c>
      <c r="T183" s="1"/>
      <c r="U183" s="35" t="str">
        <f t="shared" si="12"/>
        <v/>
      </c>
      <c r="V183" s="32"/>
    </row>
    <row r="184" spans="12:22" x14ac:dyDescent="0.25">
      <c r="L184" s="26">
        <v>181</v>
      </c>
      <c r="M184" t="s">
        <v>139</v>
      </c>
      <c r="N184" s="1" t="str">
        <f t="shared" si="10"/>
        <v/>
      </c>
      <c r="O184" s="31"/>
      <c r="P184" s="34" t="str">
        <f t="shared" si="11"/>
        <v/>
      </c>
      <c r="R184" t="s">
        <v>139</v>
      </c>
      <c r="S184" s="1" t="str">
        <f t="shared" si="13"/>
        <v/>
      </c>
      <c r="T184" s="1"/>
      <c r="U184" s="35" t="str">
        <f t="shared" si="12"/>
        <v/>
      </c>
      <c r="V184" s="32"/>
    </row>
    <row r="185" spans="12:22" x14ac:dyDescent="0.25">
      <c r="L185" s="26">
        <v>182</v>
      </c>
      <c r="M185" t="s">
        <v>138</v>
      </c>
      <c r="N185" s="1" t="str">
        <f t="shared" si="10"/>
        <v/>
      </c>
      <c r="O185" s="31"/>
      <c r="P185" s="34" t="str">
        <f t="shared" si="11"/>
        <v/>
      </c>
      <c r="R185" t="s">
        <v>138</v>
      </c>
      <c r="S185" s="1" t="str">
        <f t="shared" si="13"/>
        <v/>
      </c>
      <c r="T185" s="1"/>
      <c r="U185" s="35" t="str">
        <f t="shared" si="12"/>
        <v/>
      </c>
      <c r="V185" s="32"/>
    </row>
    <row r="186" spans="12:22" x14ac:dyDescent="0.25">
      <c r="L186" s="26">
        <v>183</v>
      </c>
      <c r="M186" t="s">
        <v>137</v>
      </c>
      <c r="N186" s="1" t="str">
        <f t="shared" si="10"/>
        <v/>
      </c>
      <c r="O186" s="31"/>
      <c r="P186" s="34" t="str">
        <f t="shared" si="11"/>
        <v/>
      </c>
      <c r="R186" t="s">
        <v>137</v>
      </c>
      <c r="S186" s="1" t="str">
        <f t="shared" si="13"/>
        <v/>
      </c>
      <c r="T186" s="1"/>
      <c r="U186" s="35" t="str">
        <f t="shared" si="12"/>
        <v/>
      </c>
      <c r="V186" s="32"/>
    </row>
    <row r="187" spans="12:22" x14ac:dyDescent="0.25">
      <c r="L187" s="26">
        <v>184</v>
      </c>
      <c r="M187" t="s">
        <v>136</v>
      </c>
      <c r="N187" s="1" t="str">
        <f t="shared" si="10"/>
        <v/>
      </c>
      <c r="O187" s="31"/>
      <c r="P187" s="34" t="str">
        <f t="shared" si="11"/>
        <v/>
      </c>
      <c r="R187" t="s">
        <v>136</v>
      </c>
      <c r="S187" s="1" t="str">
        <f t="shared" si="13"/>
        <v/>
      </c>
      <c r="T187" s="1"/>
      <c r="U187" s="35" t="str">
        <f t="shared" si="12"/>
        <v/>
      </c>
      <c r="V187" s="32"/>
    </row>
    <row r="188" spans="12:22" x14ac:dyDescent="0.25">
      <c r="L188" s="26">
        <v>185</v>
      </c>
      <c r="M188" t="s">
        <v>135</v>
      </c>
      <c r="N188" s="1" t="str">
        <f t="shared" si="10"/>
        <v/>
      </c>
      <c r="O188" s="31"/>
      <c r="P188" s="34" t="str">
        <f t="shared" si="11"/>
        <v/>
      </c>
      <c r="R188" t="s">
        <v>135</v>
      </c>
      <c r="S188" s="1" t="str">
        <f t="shared" si="13"/>
        <v/>
      </c>
      <c r="T188" s="1"/>
      <c r="U188" s="35" t="str">
        <f t="shared" si="12"/>
        <v/>
      </c>
      <c r="V188" s="32"/>
    </row>
    <row r="189" spans="12:22" x14ac:dyDescent="0.25">
      <c r="L189" s="26">
        <v>186</v>
      </c>
      <c r="M189" t="s">
        <v>134</v>
      </c>
      <c r="N189" s="1" t="str">
        <f t="shared" si="10"/>
        <v/>
      </c>
      <c r="O189" s="31"/>
      <c r="P189" s="34" t="str">
        <f t="shared" si="11"/>
        <v/>
      </c>
      <c r="R189" t="s">
        <v>134</v>
      </c>
      <c r="S189" s="1" t="str">
        <f t="shared" si="13"/>
        <v/>
      </c>
      <c r="T189" s="1"/>
      <c r="U189" s="35" t="str">
        <f t="shared" si="12"/>
        <v/>
      </c>
      <c r="V189" s="32"/>
    </row>
    <row r="190" spans="12:22" x14ac:dyDescent="0.25">
      <c r="L190" s="26">
        <v>187</v>
      </c>
      <c r="M190" t="s">
        <v>133</v>
      </c>
      <c r="N190" s="1" t="str">
        <f t="shared" si="10"/>
        <v/>
      </c>
      <c r="O190" s="31"/>
      <c r="P190" s="34" t="str">
        <f t="shared" si="11"/>
        <v/>
      </c>
      <c r="R190" t="s">
        <v>133</v>
      </c>
      <c r="S190" s="1" t="str">
        <f t="shared" si="13"/>
        <v/>
      </c>
      <c r="T190" s="1"/>
      <c r="U190" s="35" t="str">
        <f t="shared" si="12"/>
        <v/>
      </c>
      <c r="V190" s="32"/>
    </row>
    <row r="191" spans="12:22" x14ac:dyDescent="0.25">
      <c r="L191" s="26">
        <v>188</v>
      </c>
      <c r="M191" t="s">
        <v>132</v>
      </c>
      <c r="N191" s="1" t="str">
        <f t="shared" si="10"/>
        <v/>
      </c>
      <c r="O191" s="31"/>
      <c r="P191" s="34" t="str">
        <f t="shared" si="11"/>
        <v/>
      </c>
      <c r="R191" t="s">
        <v>132</v>
      </c>
      <c r="S191" s="1" t="str">
        <f t="shared" si="13"/>
        <v/>
      </c>
      <c r="T191" s="1"/>
      <c r="U191" s="35" t="str">
        <f t="shared" si="12"/>
        <v/>
      </c>
      <c r="V191" s="32"/>
    </row>
    <row r="192" spans="12:22" x14ac:dyDescent="0.25">
      <c r="L192" s="26">
        <v>189</v>
      </c>
      <c r="M192" t="s">
        <v>131</v>
      </c>
      <c r="N192" s="1" t="str">
        <f t="shared" si="10"/>
        <v/>
      </c>
      <c r="O192" s="31"/>
      <c r="P192" s="34" t="str">
        <f t="shared" si="11"/>
        <v/>
      </c>
      <c r="R192" t="s">
        <v>131</v>
      </c>
      <c r="S192" s="1" t="str">
        <f t="shared" si="13"/>
        <v/>
      </c>
      <c r="T192" s="1"/>
      <c r="U192" s="35" t="str">
        <f t="shared" si="12"/>
        <v/>
      </c>
      <c r="V192" s="32"/>
    </row>
    <row r="193" spans="12:22" x14ac:dyDescent="0.25">
      <c r="L193" s="26">
        <v>190</v>
      </c>
      <c r="M193" t="s">
        <v>130</v>
      </c>
      <c r="N193" s="1" t="str">
        <f t="shared" si="10"/>
        <v/>
      </c>
      <c r="O193" s="31"/>
      <c r="P193" s="34" t="str">
        <f t="shared" si="11"/>
        <v/>
      </c>
      <c r="R193" t="s">
        <v>130</v>
      </c>
      <c r="S193" s="1" t="str">
        <f t="shared" si="13"/>
        <v/>
      </c>
      <c r="T193" s="1"/>
      <c r="U193" s="35" t="str">
        <f t="shared" si="12"/>
        <v/>
      </c>
      <c r="V193" s="32"/>
    </row>
    <row r="194" spans="12:22" x14ac:dyDescent="0.25">
      <c r="L194" s="26">
        <v>191</v>
      </c>
      <c r="M194" t="s">
        <v>129</v>
      </c>
      <c r="N194" s="1" t="str">
        <f t="shared" si="10"/>
        <v/>
      </c>
      <c r="O194" s="31"/>
      <c r="P194" s="34" t="str">
        <f t="shared" si="11"/>
        <v/>
      </c>
      <c r="R194" t="s">
        <v>129</v>
      </c>
      <c r="S194" s="1" t="str">
        <f t="shared" si="13"/>
        <v/>
      </c>
      <c r="T194" s="1"/>
      <c r="U194" s="35" t="str">
        <f t="shared" si="12"/>
        <v/>
      </c>
      <c r="V194" s="32"/>
    </row>
    <row r="195" spans="12:22" x14ac:dyDescent="0.25">
      <c r="L195" s="26">
        <v>192</v>
      </c>
      <c r="M195" t="s">
        <v>128</v>
      </c>
      <c r="N195" s="1" t="str">
        <f t="shared" si="10"/>
        <v/>
      </c>
      <c r="O195" s="31"/>
      <c r="P195" s="34" t="str">
        <f t="shared" si="11"/>
        <v/>
      </c>
      <c r="R195" t="s">
        <v>128</v>
      </c>
      <c r="S195" s="1" t="str">
        <f t="shared" si="13"/>
        <v/>
      </c>
      <c r="T195" s="1"/>
      <c r="U195" s="35" t="str">
        <f t="shared" si="12"/>
        <v/>
      </c>
      <c r="V195" s="32"/>
    </row>
    <row r="196" spans="12:22" x14ac:dyDescent="0.25">
      <c r="L196" s="26">
        <v>193</v>
      </c>
      <c r="M196" t="s">
        <v>127</v>
      </c>
      <c r="N196" s="1" t="str">
        <f t="shared" si="10"/>
        <v/>
      </c>
      <c r="O196" s="31"/>
      <c r="P196" s="34" t="str">
        <f t="shared" si="11"/>
        <v/>
      </c>
      <c r="R196" t="s">
        <v>127</v>
      </c>
      <c r="S196" s="1" t="str">
        <f t="shared" si="13"/>
        <v/>
      </c>
      <c r="T196" s="1"/>
      <c r="U196" s="35" t="str">
        <f t="shared" si="12"/>
        <v/>
      </c>
      <c r="V196" s="32"/>
    </row>
    <row r="197" spans="12:22" x14ac:dyDescent="0.25">
      <c r="L197" s="26">
        <v>194</v>
      </c>
      <c r="M197" t="s">
        <v>126</v>
      </c>
      <c r="N197" s="1" t="str">
        <f t="shared" ref="N197:N252" si="14">IF(L197&gt;$I$2,"",F197/$D$3-1)</f>
        <v/>
      </c>
      <c r="O197" s="31"/>
      <c r="P197" s="34" t="str">
        <f t="shared" ref="P197:P253" si="15">IF(AND(L197&lt;=$I$2,N197&lt;= -0.1),1,"")</f>
        <v/>
      </c>
      <c r="R197" t="s">
        <v>126</v>
      </c>
      <c r="S197" s="1" t="str">
        <f t="shared" si="13"/>
        <v/>
      </c>
      <c r="T197" s="1"/>
      <c r="U197" s="35" t="str">
        <f t="shared" ref="U197:U253" si="16">IF(AND(L197&lt;=$I$2,S197&gt;=0.2),1,"")</f>
        <v/>
      </c>
      <c r="V197" s="32"/>
    </row>
    <row r="198" spans="12:22" x14ac:dyDescent="0.25">
      <c r="L198" s="26">
        <v>195</v>
      </c>
      <c r="M198" t="s">
        <v>125</v>
      </c>
      <c r="N198" s="1" t="str">
        <f t="shared" si="14"/>
        <v/>
      </c>
      <c r="O198" s="31"/>
      <c r="P198" s="34" t="str">
        <f t="shared" si="15"/>
        <v/>
      </c>
      <c r="R198" t="s">
        <v>125</v>
      </c>
      <c r="S198" s="1" t="str">
        <f t="shared" si="13"/>
        <v/>
      </c>
      <c r="T198" s="1"/>
      <c r="U198" s="35" t="str">
        <f t="shared" si="16"/>
        <v/>
      </c>
      <c r="V198" s="32"/>
    </row>
    <row r="199" spans="12:22" x14ac:dyDescent="0.25">
      <c r="L199" s="26">
        <v>196</v>
      </c>
      <c r="M199" t="s">
        <v>124</v>
      </c>
      <c r="N199" s="1" t="str">
        <f t="shared" si="14"/>
        <v/>
      </c>
      <c r="O199" s="31"/>
      <c r="P199" s="34" t="str">
        <f t="shared" si="15"/>
        <v/>
      </c>
      <c r="R199" t="s">
        <v>124</v>
      </c>
      <c r="S199" s="1" t="str">
        <f t="shared" si="13"/>
        <v/>
      </c>
      <c r="T199" s="1"/>
      <c r="U199" s="35" t="str">
        <f t="shared" si="16"/>
        <v/>
      </c>
      <c r="V199" s="32"/>
    </row>
    <row r="200" spans="12:22" x14ac:dyDescent="0.25">
      <c r="L200" s="26">
        <v>197</v>
      </c>
      <c r="M200" t="s">
        <v>123</v>
      </c>
      <c r="N200" s="1" t="str">
        <f t="shared" si="14"/>
        <v/>
      </c>
      <c r="O200" s="31"/>
      <c r="P200" s="34" t="str">
        <f t="shared" si="15"/>
        <v/>
      </c>
      <c r="R200" t="s">
        <v>123</v>
      </c>
      <c r="S200" s="1" t="str">
        <f t="shared" si="13"/>
        <v/>
      </c>
      <c r="T200" s="1"/>
      <c r="U200" s="35" t="str">
        <f t="shared" si="16"/>
        <v/>
      </c>
      <c r="V200" s="32"/>
    </row>
    <row r="201" spans="12:22" x14ac:dyDescent="0.25">
      <c r="L201" s="26">
        <v>198</v>
      </c>
      <c r="M201" t="s">
        <v>122</v>
      </c>
      <c r="N201" s="1" t="str">
        <f t="shared" si="14"/>
        <v/>
      </c>
      <c r="O201" s="31"/>
      <c r="P201" s="34" t="str">
        <f t="shared" si="15"/>
        <v/>
      </c>
      <c r="R201" t="s">
        <v>122</v>
      </c>
      <c r="S201" s="1" t="str">
        <f t="shared" si="13"/>
        <v/>
      </c>
      <c r="T201" s="1"/>
      <c r="U201" s="35" t="str">
        <f t="shared" si="16"/>
        <v/>
      </c>
      <c r="V201" s="32"/>
    </row>
    <row r="202" spans="12:22" x14ac:dyDescent="0.25">
      <c r="L202" s="26">
        <v>199</v>
      </c>
      <c r="M202" t="s">
        <v>121</v>
      </c>
      <c r="N202" s="1" t="str">
        <f t="shared" si="14"/>
        <v/>
      </c>
      <c r="O202" s="31"/>
      <c r="P202" s="34" t="str">
        <f t="shared" si="15"/>
        <v/>
      </c>
      <c r="R202" t="s">
        <v>121</v>
      </c>
      <c r="S202" s="1" t="str">
        <f t="shared" si="13"/>
        <v/>
      </c>
      <c r="T202" s="1"/>
      <c r="U202" s="35" t="str">
        <f t="shared" si="16"/>
        <v/>
      </c>
      <c r="V202" s="32"/>
    </row>
    <row r="203" spans="12:22" x14ac:dyDescent="0.25">
      <c r="L203" s="26">
        <v>200</v>
      </c>
      <c r="M203" t="s">
        <v>120</v>
      </c>
      <c r="N203" s="1" t="str">
        <f t="shared" si="14"/>
        <v/>
      </c>
      <c r="O203" s="31"/>
      <c r="P203" s="34" t="str">
        <f t="shared" si="15"/>
        <v/>
      </c>
      <c r="R203" t="s">
        <v>120</v>
      </c>
      <c r="S203" s="1" t="str">
        <f t="shared" si="13"/>
        <v/>
      </c>
      <c r="T203" s="1"/>
      <c r="U203" s="35" t="str">
        <f t="shared" si="16"/>
        <v/>
      </c>
      <c r="V203" s="32"/>
    </row>
    <row r="204" spans="12:22" x14ac:dyDescent="0.25">
      <c r="L204" s="26">
        <v>201</v>
      </c>
      <c r="M204" t="s">
        <v>119</v>
      </c>
      <c r="N204" s="1" t="str">
        <f t="shared" si="14"/>
        <v/>
      </c>
      <c r="O204" s="31"/>
      <c r="P204" s="34" t="str">
        <f t="shared" si="15"/>
        <v/>
      </c>
      <c r="R204" t="s">
        <v>119</v>
      </c>
      <c r="S204" s="1" t="str">
        <f t="shared" si="13"/>
        <v/>
      </c>
      <c r="T204" s="1"/>
      <c r="U204" s="35" t="str">
        <f t="shared" si="16"/>
        <v/>
      </c>
      <c r="V204" s="32"/>
    </row>
    <row r="205" spans="12:22" x14ac:dyDescent="0.25">
      <c r="L205" s="26">
        <v>202</v>
      </c>
      <c r="M205" t="s">
        <v>118</v>
      </c>
      <c r="N205" s="1" t="str">
        <f t="shared" si="14"/>
        <v/>
      </c>
      <c r="O205" s="31"/>
      <c r="P205" s="34" t="str">
        <f t="shared" si="15"/>
        <v/>
      </c>
      <c r="R205" t="s">
        <v>118</v>
      </c>
      <c r="S205" s="1" t="str">
        <f t="shared" si="13"/>
        <v/>
      </c>
      <c r="T205" s="1"/>
      <c r="U205" s="35" t="str">
        <f t="shared" si="16"/>
        <v/>
      </c>
      <c r="V205" s="32"/>
    </row>
    <row r="206" spans="12:22" x14ac:dyDescent="0.25">
      <c r="L206" s="26">
        <v>203</v>
      </c>
      <c r="M206" t="s">
        <v>117</v>
      </c>
      <c r="N206" s="1" t="str">
        <f t="shared" si="14"/>
        <v/>
      </c>
      <c r="O206" s="31"/>
      <c r="P206" s="34" t="str">
        <f t="shared" si="15"/>
        <v/>
      </c>
      <c r="R206" t="s">
        <v>117</v>
      </c>
      <c r="S206" s="1" t="str">
        <f t="shared" si="13"/>
        <v/>
      </c>
      <c r="T206" s="1"/>
      <c r="U206" s="35" t="str">
        <f t="shared" si="16"/>
        <v/>
      </c>
      <c r="V206" s="32"/>
    </row>
    <row r="207" spans="12:22" x14ac:dyDescent="0.25">
      <c r="L207" s="26">
        <v>204</v>
      </c>
      <c r="M207" t="s">
        <v>116</v>
      </c>
      <c r="N207" s="1" t="str">
        <f t="shared" si="14"/>
        <v/>
      </c>
      <c r="O207" s="31"/>
      <c r="P207" s="34" t="str">
        <f t="shared" si="15"/>
        <v/>
      </c>
      <c r="R207" t="s">
        <v>116</v>
      </c>
      <c r="S207" s="1" t="str">
        <f t="shared" si="13"/>
        <v/>
      </c>
      <c r="T207" s="1"/>
      <c r="U207" s="35" t="str">
        <f t="shared" si="16"/>
        <v/>
      </c>
      <c r="V207" s="32"/>
    </row>
    <row r="208" spans="12:22" x14ac:dyDescent="0.25">
      <c r="L208" s="26">
        <v>205</v>
      </c>
      <c r="M208" t="s">
        <v>115</v>
      </c>
      <c r="N208" s="1" t="str">
        <f t="shared" si="14"/>
        <v/>
      </c>
      <c r="O208" s="31"/>
      <c r="P208" s="34" t="str">
        <f t="shared" si="15"/>
        <v/>
      </c>
      <c r="R208" t="s">
        <v>115</v>
      </c>
      <c r="S208" s="1" t="str">
        <f t="shared" si="13"/>
        <v/>
      </c>
      <c r="T208" s="1"/>
      <c r="U208" s="35" t="str">
        <f t="shared" si="16"/>
        <v/>
      </c>
      <c r="V208" s="32"/>
    </row>
    <row r="209" spans="12:22" x14ac:dyDescent="0.25">
      <c r="L209" s="26">
        <v>206</v>
      </c>
      <c r="M209" t="s">
        <v>114</v>
      </c>
      <c r="N209" s="1" t="str">
        <f t="shared" si="14"/>
        <v/>
      </c>
      <c r="O209" s="31"/>
      <c r="P209" s="34" t="str">
        <f t="shared" si="15"/>
        <v/>
      </c>
      <c r="R209" t="s">
        <v>114</v>
      </c>
      <c r="S209" s="1" t="str">
        <f t="shared" si="13"/>
        <v/>
      </c>
      <c r="T209" s="1"/>
      <c r="U209" s="35" t="str">
        <f t="shared" si="16"/>
        <v/>
      </c>
      <c r="V209" s="32"/>
    </row>
    <row r="210" spans="12:22" x14ac:dyDescent="0.25">
      <c r="L210" s="26">
        <v>207</v>
      </c>
      <c r="M210" t="s">
        <v>113</v>
      </c>
      <c r="N210" s="1" t="str">
        <f t="shared" si="14"/>
        <v/>
      </c>
      <c r="O210" s="31"/>
      <c r="P210" s="34" t="str">
        <f t="shared" si="15"/>
        <v/>
      </c>
      <c r="R210" t="s">
        <v>113</v>
      </c>
      <c r="S210" s="1" t="str">
        <f t="shared" si="13"/>
        <v/>
      </c>
      <c r="T210" s="1"/>
      <c r="U210" s="35" t="str">
        <f t="shared" si="16"/>
        <v/>
      </c>
      <c r="V210" s="32"/>
    </row>
    <row r="211" spans="12:22" x14ac:dyDescent="0.25">
      <c r="L211" s="26">
        <v>208</v>
      </c>
      <c r="M211" t="s">
        <v>112</v>
      </c>
      <c r="N211" s="1" t="str">
        <f t="shared" si="14"/>
        <v/>
      </c>
      <c r="O211" s="31"/>
      <c r="P211" s="34" t="str">
        <f t="shared" si="15"/>
        <v/>
      </c>
      <c r="R211" t="s">
        <v>112</v>
      </c>
      <c r="S211" s="1" t="str">
        <f t="shared" si="13"/>
        <v/>
      </c>
      <c r="T211" s="1"/>
      <c r="U211" s="35" t="str">
        <f t="shared" si="16"/>
        <v/>
      </c>
      <c r="V211" s="32"/>
    </row>
    <row r="212" spans="12:22" x14ac:dyDescent="0.25">
      <c r="L212" s="26">
        <v>209</v>
      </c>
      <c r="M212" t="s">
        <v>111</v>
      </c>
      <c r="N212" s="1" t="str">
        <f t="shared" si="14"/>
        <v/>
      </c>
      <c r="O212" s="31"/>
      <c r="P212" s="34" t="str">
        <f t="shared" si="15"/>
        <v/>
      </c>
      <c r="R212" t="s">
        <v>111</v>
      </c>
      <c r="S212" s="1" t="str">
        <f t="shared" si="13"/>
        <v/>
      </c>
      <c r="T212" s="1"/>
      <c r="U212" s="35" t="str">
        <f t="shared" si="16"/>
        <v/>
      </c>
      <c r="V212" s="32"/>
    </row>
    <row r="213" spans="12:22" x14ac:dyDescent="0.25">
      <c r="L213" s="26">
        <v>210</v>
      </c>
      <c r="M213" t="s">
        <v>110</v>
      </c>
      <c r="N213" s="1" t="str">
        <f t="shared" si="14"/>
        <v/>
      </c>
      <c r="O213" s="31"/>
      <c r="P213" s="34" t="str">
        <f t="shared" si="15"/>
        <v/>
      </c>
      <c r="R213" t="s">
        <v>110</v>
      </c>
      <c r="S213" s="1" t="str">
        <f t="shared" si="13"/>
        <v/>
      </c>
      <c r="T213" s="1"/>
      <c r="U213" s="35" t="str">
        <f t="shared" si="16"/>
        <v/>
      </c>
      <c r="V213" s="32"/>
    </row>
    <row r="214" spans="12:22" x14ac:dyDescent="0.25">
      <c r="L214" s="26">
        <v>211</v>
      </c>
      <c r="M214" t="s">
        <v>109</v>
      </c>
      <c r="N214" s="1" t="str">
        <f t="shared" si="14"/>
        <v/>
      </c>
      <c r="O214" s="31"/>
      <c r="P214" s="34" t="str">
        <f t="shared" si="15"/>
        <v/>
      </c>
      <c r="R214" t="s">
        <v>109</v>
      </c>
      <c r="S214" s="1" t="str">
        <f t="shared" si="13"/>
        <v/>
      </c>
      <c r="T214" s="1"/>
      <c r="U214" s="35" t="str">
        <f t="shared" si="16"/>
        <v/>
      </c>
      <c r="V214" s="32"/>
    </row>
    <row r="215" spans="12:22" x14ac:dyDescent="0.25">
      <c r="L215" s="26">
        <v>212</v>
      </c>
      <c r="M215" t="s">
        <v>108</v>
      </c>
      <c r="N215" s="1" t="str">
        <f t="shared" si="14"/>
        <v/>
      </c>
      <c r="O215" s="31"/>
      <c r="P215" s="34" t="str">
        <f t="shared" si="15"/>
        <v/>
      </c>
      <c r="R215" t="s">
        <v>108</v>
      </c>
      <c r="S215" s="1" t="str">
        <f t="shared" si="13"/>
        <v/>
      </c>
      <c r="T215" s="1"/>
      <c r="U215" s="35" t="str">
        <f t="shared" si="16"/>
        <v/>
      </c>
      <c r="V215" s="32"/>
    </row>
    <row r="216" spans="12:22" x14ac:dyDescent="0.25">
      <c r="L216" s="26">
        <v>213</v>
      </c>
      <c r="M216" t="s">
        <v>107</v>
      </c>
      <c r="N216" s="1" t="str">
        <f t="shared" si="14"/>
        <v/>
      </c>
      <c r="O216" s="31"/>
      <c r="P216" s="34" t="str">
        <f t="shared" si="15"/>
        <v/>
      </c>
      <c r="R216" t="s">
        <v>107</v>
      </c>
      <c r="S216" s="1" t="str">
        <f t="shared" ref="S216:S252" si="17">IF(L216&gt;$I$2,"",E216/$D$3-1)</f>
        <v/>
      </c>
      <c r="T216" s="1"/>
      <c r="U216" s="35" t="str">
        <f t="shared" si="16"/>
        <v/>
      </c>
      <c r="V216" s="32"/>
    </row>
    <row r="217" spans="12:22" x14ac:dyDescent="0.25">
      <c r="L217" s="26">
        <v>214</v>
      </c>
      <c r="M217" t="s">
        <v>106</v>
      </c>
      <c r="N217" s="1" t="str">
        <f t="shared" si="14"/>
        <v/>
      </c>
      <c r="O217" s="31"/>
      <c r="P217" s="34" t="str">
        <f t="shared" si="15"/>
        <v/>
      </c>
      <c r="R217" t="s">
        <v>106</v>
      </c>
      <c r="S217" s="1" t="str">
        <f t="shared" si="17"/>
        <v/>
      </c>
      <c r="T217" s="1"/>
      <c r="U217" s="35" t="str">
        <f t="shared" si="16"/>
        <v/>
      </c>
      <c r="V217" s="32"/>
    </row>
    <row r="218" spans="12:22" x14ac:dyDescent="0.25">
      <c r="L218" s="26">
        <v>215</v>
      </c>
      <c r="M218" t="s">
        <v>105</v>
      </c>
      <c r="N218" s="1" t="str">
        <f t="shared" si="14"/>
        <v/>
      </c>
      <c r="O218" s="31"/>
      <c r="P218" s="34" t="str">
        <f t="shared" si="15"/>
        <v/>
      </c>
      <c r="R218" t="s">
        <v>105</v>
      </c>
      <c r="S218" s="1" t="str">
        <f t="shared" si="17"/>
        <v/>
      </c>
      <c r="T218" s="1"/>
      <c r="U218" s="35" t="str">
        <f t="shared" si="16"/>
        <v/>
      </c>
      <c r="V218" s="32"/>
    </row>
    <row r="219" spans="12:22" x14ac:dyDescent="0.25">
      <c r="L219" s="26">
        <v>216</v>
      </c>
      <c r="M219" t="s">
        <v>104</v>
      </c>
      <c r="N219" s="1" t="str">
        <f t="shared" si="14"/>
        <v/>
      </c>
      <c r="O219" s="31"/>
      <c r="P219" s="34" t="str">
        <f t="shared" si="15"/>
        <v/>
      </c>
      <c r="R219" t="s">
        <v>104</v>
      </c>
      <c r="S219" s="1" t="str">
        <f t="shared" si="17"/>
        <v/>
      </c>
      <c r="T219" s="1"/>
      <c r="U219" s="35" t="str">
        <f t="shared" si="16"/>
        <v/>
      </c>
      <c r="V219" s="32"/>
    </row>
    <row r="220" spans="12:22" x14ac:dyDescent="0.25">
      <c r="L220" s="26">
        <v>217</v>
      </c>
      <c r="M220" t="s">
        <v>103</v>
      </c>
      <c r="N220" s="1" t="str">
        <f t="shared" si="14"/>
        <v/>
      </c>
      <c r="O220" s="31"/>
      <c r="P220" s="34" t="str">
        <f t="shared" si="15"/>
        <v/>
      </c>
      <c r="R220" t="s">
        <v>103</v>
      </c>
      <c r="S220" s="1" t="str">
        <f t="shared" si="17"/>
        <v/>
      </c>
      <c r="T220" s="1"/>
      <c r="U220" s="35" t="str">
        <f t="shared" si="16"/>
        <v/>
      </c>
      <c r="V220" s="32"/>
    </row>
    <row r="221" spans="12:22" x14ac:dyDescent="0.25">
      <c r="L221" s="26">
        <v>218</v>
      </c>
      <c r="M221" t="s">
        <v>102</v>
      </c>
      <c r="N221" s="1" t="str">
        <f t="shared" si="14"/>
        <v/>
      </c>
      <c r="O221" s="31"/>
      <c r="P221" s="34" t="str">
        <f t="shared" si="15"/>
        <v/>
      </c>
      <c r="R221" t="s">
        <v>102</v>
      </c>
      <c r="S221" s="1" t="str">
        <f t="shared" si="17"/>
        <v/>
      </c>
      <c r="T221" s="1"/>
      <c r="U221" s="35" t="str">
        <f t="shared" si="16"/>
        <v/>
      </c>
      <c r="V221" s="32"/>
    </row>
    <row r="222" spans="12:22" x14ac:dyDescent="0.25">
      <c r="L222" s="26">
        <v>219</v>
      </c>
      <c r="M222" t="s">
        <v>101</v>
      </c>
      <c r="N222" s="1" t="str">
        <f t="shared" si="14"/>
        <v/>
      </c>
      <c r="O222" s="31"/>
      <c r="P222" s="34" t="str">
        <f t="shared" si="15"/>
        <v/>
      </c>
      <c r="R222" t="s">
        <v>101</v>
      </c>
      <c r="S222" s="1" t="str">
        <f t="shared" si="17"/>
        <v/>
      </c>
      <c r="T222" s="1"/>
      <c r="U222" s="35" t="str">
        <f t="shared" si="16"/>
        <v/>
      </c>
      <c r="V222" s="32"/>
    </row>
    <row r="223" spans="12:22" x14ac:dyDescent="0.25">
      <c r="L223" s="26">
        <v>220</v>
      </c>
      <c r="M223" t="s">
        <v>100</v>
      </c>
      <c r="N223" s="1" t="str">
        <f t="shared" si="14"/>
        <v/>
      </c>
      <c r="O223" s="31"/>
      <c r="P223" s="34" t="str">
        <f t="shared" si="15"/>
        <v/>
      </c>
      <c r="R223" t="s">
        <v>100</v>
      </c>
      <c r="S223" s="1" t="str">
        <f t="shared" si="17"/>
        <v/>
      </c>
      <c r="T223" s="1"/>
      <c r="U223" s="35" t="str">
        <f t="shared" si="16"/>
        <v/>
      </c>
      <c r="V223" s="32"/>
    </row>
    <row r="224" spans="12:22" x14ac:dyDescent="0.25">
      <c r="L224" s="26">
        <v>221</v>
      </c>
      <c r="M224" t="s">
        <v>99</v>
      </c>
      <c r="N224" s="1" t="str">
        <f t="shared" si="14"/>
        <v/>
      </c>
      <c r="O224" s="31"/>
      <c r="P224" s="34" t="str">
        <f t="shared" si="15"/>
        <v/>
      </c>
      <c r="R224" t="s">
        <v>99</v>
      </c>
      <c r="S224" s="1" t="str">
        <f t="shared" si="17"/>
        <v/>
      </c>
      <c r="T224" s="1"/>
      <c r="U224" s="35" t="str">
        <f t="shared" si="16"/>
        <v/>
      </c>
      <c r="V224" s="32"/>
    </row>
    <row r="225" spans="12:22" x14ac:dyDescent="0.25">
      <c r="L225" s="26">
        <v>222</v>
      </c>
      <c r="M225" t="s">
        <v>98</v>
      </c>
      <c r="N225" s="1" t="str">
        <f t="shared" si="14"/>
        <v/>
      </c>
      <c r="O225" s="31"/>
      <c r="P225" s="34" t="str">
        <f t="shared" si="15"/>
        <v/>
      </c>
      <c r="R225" t="s">
        <v>98</v>
      </c>
      <c r="S225" s="1" t="str">
        <f t="shared" si="17"/>
        <v/>
      </c>
      <c r="T225" s="1"/>
      <c r="U225" s="35" t="str">
        <f t="shared" si="16"/>
        <v/>
      </c>
      <c r="V225" s="32"/>
    </row>
    <row r="226" spans="12:22" x14ac:dyDescent="0.25">
      <c r="L226" s="26">
        <v>223</v>
      </c>
      <c r="M226" t="s">
        <v>97</v>
      </c>
      <c r="N226" s="1" t="str">
        <f t="shared" si="14"/>
        <v/>
      </c>
      <c r="O226" s="31"/>
      <c r="P226" s="34" t="str">
        <f t="shared" si="15"/>
        <v/>
      </c>
      <c r="R226" t="s">
        <v>97</v>
      </c>
      <c r="S226" s="1" t="str">
        <f t="shared" si="17"/>
        <v/>
      </c>
      <c r="T226" s="1"/>
      <c r="U226" s="35" t="str">
        <f t="shared" si="16"/>
        <v/>
      </c>
      <c r="V226" s="32"/>
    </row>
    <row r="227" spans="12:22" x14ac:dyDescent="0.25">
      <c r="L227" s="26">
        <v>224</v>
      </c>
      <c r="M227" t="s">
        <v>96</v>
      </c>
      <c r="N227" s="1" t="str">
        <f t="shared" si="14"/>
        <v/>
      </c>
      <c r="O227" s="31"/>
      <c r="P227" s="34" t="str">
        <f t="shared" si="15"/>
        <v/>
      </c>
      <c r="R227" t="s">
        <v>96</v>
      </c>
      <c r="S227" s="1" t="str">
        <f t="shared" si="17"/>
        <v/>
      </c>
      <c r="T227" s="1"/>
      <c r="U227" s="35" t="str">
        <f t="shared" si="16"/>
        <v/>
      </c>
      <c r="V227" s="32"/>
    </row>
    <row r="228" spans="12:22" x14ac:dyDescent="0.25">
      <c r="L228" s="26">
        <v>225</v>
      </c>
      <c r="M228" t="s">
        <v>95</v>
      </c>
      <c r="N228" s="1" t="str">
        <f t="shared" si="14"/>
        <v/>
      </c>
      <c r="O228" s="31"/>
      <c r="P228" s="34" t="str">
        <f t="shared" si="15"/>
        <v/>
      </c>
      <c r="R228" t="s">
        <v>95</v>
      </c>
      <c r="S228" s="1" t="str">
        <f t="shared" si="17"/>
        <v/>
      </c>
      <c r="T228" s="1"/>
      <c r="U228" s="35" t="str">
        <f t="shared" si="16"/>
        <v/>
      </c>
      <c r="V228" s="32"/>
    </row>
    <row r="229" spans="12:22" x14ac:dyDescent="0.25">
      <c r="L229" s="26">
        <v>226</v>
      </c>
      <c r="M229" t="s">
        <v>94</v>
      </c>
      <c r="N229" s="1" t="str">
        <f t="shared" si="14"/>
        <v/>
      </c>
      <c r="O229" s="31"/>
      <c r="P229" s="34" t="str">
        <f t="shared" si="15"/>
        <v/>
      </c>
      <c r="R229" t="s">
        <v>94</v>
      </c>
      <c r="S229" s="1" t="str">
        <f t="shared" si="17"/>
        <v/>
      </c>
      <c r="T229" s="1"/>
      <c r="U229" s="35" t="str">
        <f t="shared" si="16"/>
        <v/>
      </c>
      <c r="V229" s="32"/>
    </row>
    <row r="230" spans="12:22" x14ac:dyDescent="0.25">
      <c r="L230" s="26">
        <v>227</v>
      </c>
      <c r="M230" t="s">
        <v>93</v>
      </c>
      <c r="N230" s="1" t="str">
        <f t="shared" si="14"/>
        <v/>
      </c>
      <c r="O230" s="31"/>
      <c r="P230" s="34" t="str">
        <f t="shared" si="15"/>
        <v/>
      </c>
      <c r="R230" t="s">
        <v>93</v>
      </c>
      <c r="S230" s="1" t="str">
        <f t="shared" si="17"/>
        <v/>
      </c>
      <c r="T230" s="1"/>
      <c r="U230" s="35" t="str">
        <f t="shared" si="16"/>
        <v/>
      </c>
      <c r="V230" s="32"/>
    </row>
    <row r="231" spans="12:22" x14ac:dyDescent="0.25">
      <c r="L231" s="26">
        <v>228</v>
      </c>
      <c r="M231" t="s">
        <v>92</v>
      </c>
      <c r="N231" s="1" t="str">
        <f t="shared" si="14"/>
        <v/>
      </c>
      <c r="O231" s="31"/>
      <c r="P231" s="34" t="str">
        <f t="shared" si="15"/>
        <v/>
      </c>
      <c r="R231" t="s">
        <v>92</v>
      </c>
      <c r="S231" s="1" t="str">
        <f t="shared" si="17"/>
        <v/>
      </c>
      <c r="T231" s="1"/>
      <c r="U231" s="35" t="str">
        <f t="shared" si="16"/>
        <v/>
      </c>
      <c r="V231" s="32"/>
    </row>
    <row r="232" spans="12:22" x14ac:dyDescent="0.25">
      <c r="L232" s="26">
        <v>229</v>
      </c>
      <c r="M232" t="s">
        <v>91</v>
      </c>
      <c r="N232" s="1" t="str">
        <f t="shared" si="14"/>
        <v/>
      </c>
      <c r="O232" s="31"/>
      <c r="P232" s="34" t="str">
        <f t="shared" si="15"/>
        <v/>
      </c>
      <c r="R232" t="s">
        <v>91</v>
      </c>
      <c r="S232" s="1" t="str">
        <f t="shared" si="17"/>
        <v/>
      </c>
      <c r="T232" s="1"/>
      <c r="U232" s="35" t="str">
        <f t="shared" si="16"/>
        <v/>
      </c>
      <c r="V232" s="32"/>
    </row>
    <row r="233" spans="12:22" x14ac:dyDescent="0.25">
      <c r="L233" s="26">
        <v>230</v>
      </c>
      <c r="M233" t="s">
        <v>90</v>
      </c>
      <c r="N233" s="1" t="str">
        <f t="shared" si="14"/>
        <v/>
      </c>
      <c r="O233" s="31"/>
      <c r="P233" s="34" t="str">
        <f t="shared" si="15"/>
        <v/>
      </c>
      <c r="R233" t="s">
        <v>90</v>
      </c>
      <c r="S233" s="1" t="str">
        <f t="shared" si="17"/>
        <v/>
      </c>
      <c r="T233" s="1"/>
      <c r="U233" s="35" t="str">
        <f t="shared" si="16"/>
        <v/>
      </c>
      <c r="V233" s="32"/>
    </row>
    <row r="234" spans="12:22" x14ac:dyDescent="0.25">
      <c r="L234" s="26">
        <v>231</v>
      </c>
      <c r="M234" t="s">
        <v>89</v>
      </c>
      <c r="N234" s="1" t="str">
        <f t="shared" si="14"/>
        <v/>
      </c>
      <c r="O234" s="31"/>
      <c r="P234" s="34" t="str">
        <f t="shared" si="15"/>
        <v/>
      </c>
      <c r="R234" t="s">
        <v>89</v>
      </c>
      <c r="S234" s="1" t="str">
        <f t="shared" si="17"/>
        <v/>
      </c>
      <c r="T234" s="1"/>
      <c r="U234" s="35" t="str">
        <f t="shared" si="16"/>
        <v/>
      </c>
      <c r="V234" s="32"/>
    </row>
    <row r="235" spans="12:22" x14ac:dyDescent="0.25">
      <c r="L235" s="26">
        <v>232</v>
      </c>
      <c r="M235" t="s">
        <v>88</v>
      </c>
      <c r="N235" s="1" t="str">
        <f t="shared" si="14"/>
        <v/>
      </c>
      <c r="O235" s="31"/>
      <c r="P235" s="34" t="str">
        <f t="shared" si="15"/>
        <v/>
      </c>
      <c r="R235" t="s">
        <v>88</v>
      </c>
      <c r="S235" s="1" t="str">
        <f t="shared" si="17"/>
        <v/>
      </c>
      <c r="T235" s="1"/>
      <c r="U235" s="35" t="str">
        <f t="shared" si="16"/>
        <v/>
      </c>
      <c r="V235" s="32"/>
    </row>
    <row r="236" spans="12:22" x14ac:dyDescent="0.25">
      <c r="L236" s="26">
        <v>233</v>
      </c>
      <c r="M236" t="s">
        <v>87</v>
      </c>
      <c r="N236" s="1" t="str">
        <f t="shared" si="14"/>
        <v/>
      </c>
      <c r="O236" s="31"/>
      <c r="P236" s="34" t="str">
        <f t="shared" si="15"/>
        <v/>
      </c>
      <c r="R236" t="s">
        <v>87</v>
      </c>
      <c r="S236" s="1" t="str">
        <f t="shared" si="17"/>
        <v/>
      </c>
      <c r="T236" s="1"/>
      <c r="U236" s="35" t="str">
        <f t="shared" si="16"/>
        <v/>
      </c>
      <c r="V236" s="32"/>
    </row>
    <row r="237" spans="12:22" x14ac:dyDescent="0.25">
      <c r="L237" s="26">
        <v>234</v>
      </c>
      <c r="M237" t="s">
        <v>86</v>
      </c>
      <c r="N237" s="1" t="str">
        <f t="shared" si="14"/>
        <v/>
      </c>
      <c r="O237" s="31"/>
      <c r="P237" s="34" t="str">
        <f t="shared" si="15"/>
        <v/>
      </c>
      <c r="R237" t="s">
        <v>86</v>
      </c>
      <c r="S237" s="1" t="str">
        <f t="shared" si="17"/>
        <v/>
      </c>
      <c r="T237" s="1"/>
      <c r="U237" s="35" t="str">
        <f t="shared" si="16"/>
        <v/>
      </c>
      <c r="V237" s="32"/>
    </row>
    <row r="238" spans="12:22" x14ac:dyDescent="0.25">
      <c r="L238" s="26">
        <v>235</v>
      </c>
      <c r="M238" t="s">
        <v>85</v>
      </c>
      <c r="N238" s="1" t="str">
        <f t="shared" si="14"/>
        <v/>
      </c>
      <c r="O238" s="31"/>
      <c r="P238" s="34" t="str">
        <f t="shared" si="15"/>
        <v/>
      </c>
      <c r="R238" t="s">
        <v>85</v>
      </c>
      <c r="S238" s="1" t="str">
        <f t="shared" si="17"/>
        <v/>
      </c>
      <c r="T238" s="1"/>
      <c r="U238" s="35" t="str">
        <f t="shared" si="16"/>
        <v/>
      </c>
      <c r="V238" s="32"/>
    </row>
    <row r="239" spans="12:22" x14ac:dyDescent="0.25">
      <c r="L239" s="26">
        <v>236</v>
      </c>
      <c r="M239" t="s">
        <v>84</v>
      </c>
      <c r="N239" s="1" t="str">
        <f t="shared" si="14"/>
        <v/>
      </c>
      <c r="O239" s="31"/>
      <c r="P239" s="34" t="str">
        <f t="shared" si="15"/>
        <v/>
      </c>
      <c r="R239" t="s">
        <v>84</v>
      </c>
      <c r="S239" s="1" t="str">
        <f t="shared" si="17"/>
        <v/>
      </c>
      <c r="T239" s="1"/>
      <c r="U239" s="35" t="str">
        <f t="shared" si="16"/>
        <v/>
      </c>
      <c r="V239" s="32"/>
    </row>
    <row r="240" spans="12:22" x14ac:dyDescent="0.25">
      <c r="L240" s="26">
        <v>237</v>
      </c>
      <c r="M240" t="s">
        <v>83</v>
      </c>
      <c r="N240" s="1" t="str">
        <f t="shared" si="14"/>
        <v/>
      </c>
      <c r="O240" s="31"/>
      <c r="P240" s="34" t="str">
        <f t="shared" si="15"/>
        <v/>
      </c>
      <c r="R240" t="s">
        <v>83</v>
      </c>
      <c r="S240" s="1" t="str">
        <f t="shared" si="17"/>
        <v/>
      </c>
      <c r="T240" s="1"/>
      <c r="U240" s="35" t="str">
        <f t="shared" si="16"/>
        <v/>
      </c>
      <c r="V240" s="32"/>
    </row>
    <row r="241" spans="12:22" x14ac:dyDescent="0.25">
      <c r="L241" s="26">
        <v>238</v>
      </c>
      <c r="M241" t="s">
        <v>82</v>
      </c>
      <c r="N241" s="1" t="str">
        <f t="shared" si="14"/>
        <v/>
      </c>
      <c r="O241" s="31"/>
      <c r="P241" s="34" t="str">
        <f t="shared" si="15"/>
        <v/>
      </c>
      <c r="R241" t="s">
        <v>82</v>
      </c>
      <c r="S241" s="1" t="str">
        <f t="shared" si="17"/>
        <v/>
      </c>
      <c r="T241" s="1"/>
      <c r="U241" s="35" t="str">
        <f t="shared" si="16"/>
        <v/>
      </c>
      <c r="V241" s="32"/>
    </row>
    <row r="242" spans="12:22" x14ac:dyDescent="0.25">
      <c r="L242" s="26">
        <v>239</v>
      </c>
      <c r="M242" t="s">
        <v>81</v>
      </c>
      <c r="N242" s="1" t="str">
        <f t="shared" si="14"/>
        <v/>
      </c>
      <c r="O242" s="31"/>
      <c r="P242" s="34" t="str">
        <f t="shared" si="15"/>
        <v/>
      </c>
      <c r="R242" t="s">
        <v>81</v>
      </c>
      <c r="S242" s="1" t="str">
        <f t="shared" si="17"/>
        <v/>
      </c>
      <c r="T242" s="1"/>
      <c r="U242" s="35" t="str">
        <f t="shared" si="16"/>
        <v/>
      </c>
      <c r="V242" s="32"/>
    </row>
    <row r="243" spans="12:22" x14ac:dyDescent="0.25">
      <c r="L243" s="26">
        <v>240</v>
      </c>
      <c r="M243" t="s">
        <v>80</v>
      </c>
      <c r="N243" s="1" t="str">
        <f t="shared" si="14"/>
        <v/>
      </c>
      <c r="O243" s="31"/>
      <c r="P243" s="34" t="str">
        <f t="shared" si="15"/>
        <v/>
      </c>
      <c r="R243" t="s">
        <v>80</v>
      </c>
      <c r="S243" s="1" t="str">
        <f t="shared" si="17"/>
        <v/>
      </c>
      <c r="T243" s="1"/>
      <c r="U243" s="35" t="str">
        <f t="shared" si="16"/>
        <v/>
      </c>
      <c r="V243" s="32"/>
    </row>
    <row r="244" spans="12:22" x14ac:dyDescent="0.25">
      <c r="L244" s="26">
        <v>241</v>
      </c>
      <c r="M244" t="s">
        <v>79</v>
      </c>
      <c r="N244" s="1" t="str">
        <f t="shared" si="14"/>
        <v/>
      </c>
      <c r="O244" s="31"/>
      <c r="P244" s="34" t="str">
        <f t="shared" si="15"/>
        <v/>
      </c>
      <c r="R244" t="s">
        <v>79</v>
      </c>
      <c r="S244" s="1" t="str">
        <f t="shared" si="17"/>
        <v/>
      </c>
      <c r="T244" s="1"/>
      <c r="U244" s="35" t="str">
        <f t="shared" si="16"/>
        <v/>
      </c>
      <c r="V244" s="32"/>
    </row>
    <row r="245" spans="12:22" x14ac:dyDescent="0.25">
      <c r="L245" s="26">
        <v>242</v>
      </c>
      <c r="M245" t="s">
        <v>78</v>
      </c>
      <c r="N245" s="1" t="str">
        <f t="shared" si="14"/>
        <v/>
      </c>
      <c r="O245" s="31"/>
      <c r="P245" s="34" t="str">
        <f t="shared" si="15"/>
        <v/>
      </c>
      <c r="R245" t="s">
        <v>78</v>
      </c>
      <c r="S245" s="1" t="str">
        <f t="shared" si="17"/>
        <v/>
      </c>
      <c r="T245" s="1"/>
      <c r="U245" s="35" t="str">
        <f t="shared" si="16"/>
        <v/>
      </c>
      <c r="V245" s="32"/>
    </row>
    <row r="246" spans="12:22" x14ac:dyDescent="0.25">
      <c r="L246" s="26">
        <v>243</v>
      </c>
      <c r="M246" t="s">
        <v>77</v>
      </c>
      <c r="N246" s="1" t="str">
        <f t="shared" si="14"/>
        <v/>
      </c>
      <c r="O246" s="31"/>
      <c r="P246" s="34" t="str">
        <f t="shared" si="15"/>
        <v/>
      </c>
      <c r="R246" t="s">
        <v>77</v>
      </c>
      <c r="S246" s="1" t="str">
        <f t="shared" si="17"/>
        <v/>
      </c>
      <c r="T246" s="1"/>
      <c r="U246" s="35" t="str">
        <f t="shared" si="16"/>
        <v/>
      </c>
      <c r="V246" s="32"/>
    </row>
    <row r="247" spans="12:22" x14ac:dyDescent="0.25">
      <c r="L247" s="26">
        <v>244</v>
      </c>
      <c r="M247" t="s">
        <v>76</v>
      </c>
      <c r="N247" s="1" t="str">
        <f t="shared" si="14"/>
        <v/>
      </c>
      <c r="O247" s="31"/>
      <c r="P247" s="34" t="str">
        <f t="shared" si="15"/>
        <v/>
      </c>
      <c r="R247" t="s">
        <v>76</v>
      </c>
      <c r="S247" s="1" t="str">
        <f t="shared" si="17"/>
        <v/>
      </c>
      <c r="T247" s="1"/>
      <c r="U247" s="35" t="str">
        <f t="shared" si="16"/>
        <v/>
      </c>
      <c r="V247" s="32"/>
    </row>
    <row r="248" spans="12:22" x14ac:dyDescent="0.25">
      <c r="L248" s="26">
        <v>245</v>
      </c>
      <c r="M248" t="s">
        <v>75</v>
      </c>
      <c r="N248" s="1" t="str">
        <f t="shared" si="14"/>
        <v/>
      </c>
      <c r="O248" s="31"/>
      <c r="P248" s="34" t="str">
        <f t="shared" si="15"/>
        <v/>
      </c>
      <c r="R248" t="s">
        <v>75</v>
      </c>
      <c r="S248" s="1" t="str">
        <f t="shared" si="17"/>
        <v/>
      </c>
      <c r="T248" s="1"/>
      <c r="U248" s="35" t="str">
        <f t="shared" si="16"/>
        <v/>
      </c>
      <c r="V248" s="32"/>
    </row>
    <row r="249" spans="12:22" x14ac:dyDescent="0.25">
      <c r="L249" s="26">
        <v>246</v>
      </c>
      <c r="M249" t="s">
        <v>74</v>
      </c>
      <c r="N249" s="1" t="str">
        <f t="shared" si="14"/>
        <v/>
      </c>
      <c r="O249" s="31"/>
      <c r="P249" s="34" t="str">
        <f t="shared" si="15"/>
        <v/>
      </c>
      <c r="R249" t="s">
        <v>74</v>
      </c>
      <c r="S249" s="1" t="str">
        <f t="shared" si="17"/>
        <v/>
      </c>
      <c r="T249" s="1"/>
      <c r="U249" s="35" t="str">
        <f t="shared" si="16"/>
        <v/>
      </c>
      <c r="V249" s="32"/>
    </row>
    <row r="250" spans="12:22" x14ac:dyDescent="0.25">
      <c r="L250" s="26">
        <v>247</v>
      </c>
      <c r="M250" t="s">
        <v>73</v>
      </c>
      <c r="N250" s="1" t="str">
        <f t="shared" si="14"/>
        <v/>
      </c>
      <c r="O250" s="31"/>
      <c r="P250" s="34" t="str">
        <f t="shared" si="15"/>
        <v/>
      </c>
      <c r="R250" t="s">
        <v>73</v>
      </c>
      <c r="S250" s="1" t="str">
        <f t="shared" si="17"/>
        <v/>
      </c>
      <c r="T250" s="1"/>
      <c r="U250" s="35" t="str">
        <f t="shared" si="16"/>
        <v/>
      </c>
      <c r="V250" s="32"/>
    </row>
    <row r="251" spans="12:22" x14ac:dyDescent="0.25">
      <c r="L251" s="26">
        <v>248</v>
      </c>
      <c r="M251" t="s">
        <v>72</v>
      </c>
      <c r="N251" s="1" t="str">
        <f t="shared" si="14"/>
        <v/>
      </c>
      <c r="O251" s="31"/>
      <c r="P251" s="34" t="str">
        <f t="shared" si="15"/>
        <v/>
      </c>
      <c r="R251" t="s">
        <v>72</v>
      </c>
      <c r="S251" s="1" t="str">
        <f t="shared" si="17"/>
        <v/>
      </c>
      <c r="T251" s="1"/>
      <c r="U251" s="35" t="str">
        <f t="shared" si="16"/>
        <v/>
      </c>
      <c r="V251" s="32"/>
    </row>
    <row r="252" spans="12:22" x14ac:dyDescent="0.25">
      <c r="L252" s="26">
        <v>249</v>
      </c>
      <c r="M252" t="s">
        <v>71</v>
      </c>
      <c r="N252" s="1" t="str">
        <f t="shared" si="14"/>
        <v/>
      </c>
      <c r="O252" s="31"/>
      <c r="P252" s="34" t="str">
        <f t="shared" si="15"/>
        <v/>
      </c>
      <c r="R252" t="s">
        <v>71</v>
      </c>
      <c r="S252" s="1" t="str">
        <f t="shared" si="17"/>
        <v/>
      </c>
      <c r="T252" s="1"/>
      <c r="U252" s="35" t="str">
        <f t="shared" si="16"/>
        <v/>
      </c>
      <c r="V252" s="32"/>
    </row>
    <row r="253" spans="12:22" x14ac:dyDescent="0.25">
      <c r="L253" s="26">
        <v>250</v>
      </c>
      <c r="M253" t="s">
        <v>70</v>
      </c>
      <c r="N253" s="1" t="str">
        <f>IF(L253&gt;$I$2,"",F253/$D$3-1)</f>
        <v/>
      </c>
      <c r="O253" s="31"/>
      <c r="P253" s="34" t="str">
        <f t="shared" si="15"/>
        <v/>
      </c>
      <c r="R253" t="s">
        <v>70</v>
      </c>
      <c r="S253" s="1" t="str">
        <f>IF(L253&gt;$I$2,"",E253/$D$3-1)</f>
        <v/>
      </c>
      <c r="T253" s="1"/>
      <c r="U253" s="35" t="str">
        <f t="shared" si="16"/>
        <v/>
      </c>
      <c r="V253" s="32"/>
    </row>
  </sheetData>
  <mergeCells count="3">
    <mergeCell ref="W3:W4"/>
    <mergeCell ref="X5:Z6"/>
    <mergeCell ref="W5:W6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04655-F4DE-4AA9-97BF-C14109E7D878}">
  <dimension ref="A1:U253"/>
  <sheetViews>
    <sheetView workbookViewId="0"/>
  </sheetViews>
  <sheetFormatPr defaultRowHeight="16.5" x14ac:dyDescent="0.25"/>
  <sheetData>
    <row r="1" spans="1:21" x14ac:dyDescent="0.25">
      <c r="A1" s="2" t="str">
        <f>"cmoneylookup|"&amp;B1&amp;回測表!A2&amp;C1&amp;回測表!B2&amp;D1&amp;回測表!C2&amp;E1</f>
        <v>cmoneylookup|&lt;&lt;LKQbXHjQyC$VmN7^hIU0FLBkWHRMfHRZ2BDwHUWcFQGVRF7Z8D73XRQndMUIkCEvVAEV{GRQBB9VOBog40GJyFjAhAkQBAGniJ93dD9RWE80gAQMTFlrHFAFN4V0r5X8HHBAHRQnvMUIkCFJT&gt;&gt;20100311&lt;&lt;21}JyAAAsUmVpIQjuMEsC&gt;&gt;20100323&lt;&lt;21}JyAAAsUmV7MQIfP$NZ2V7z&gt;&gt;2472&lt;&lt;21}Jy6}vxC8^XB{$Pn0eR{EP6bg6kl{iLqGHFcMH0tm{Pd^aejv7yqeRDkeyWswTMYw1BlD2IaGnJBkjI2UUR}fP8n{}liOCDqsuV9v}UL}8HGBnXFl8PqtLYv3bulwkgV$VmN8^7N{8bRjr2FnYc8fGlRQvdITQ7CCFWMmZJL9EpRQj8MWM$CCfnJlBA0RbBAT74WRE323h3ktQz&gt;&gt;</v>
      </c>
      <c r="B1" s="2" t="s">
        <v>64</v>
      </c>
      <c r="C1" s="2" t="s">
        <v>7</v>
      </c>
      <c r="D1" s="2" t="s">
        <v>8</v>
      </c>
      <c r="E1" s="2" t="s">
        <v>24</v>
      </c>
      <c r="F1" s="2"/>
    </row>
    <row r="2" spans="1:21" x14ac:dyDescent="0.25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6" t="s">
        <v>14</v>
      </c>
      <c r="H2" s="3" t="s">
        <v>28</v>
      </c>
      <c r="I2" s="28">
        <f>COUNTA(A:A)-3</f>
        <v>8</v>
      </c>
      <c r="M2" t="s">
        <v>294</v>
      </c>
      <c r="N2" s="30">
        <f>MIN($N$4:$N$4000)</f>
        <v>-6.6100094428707123E-3</v>
      </c>
      <c r="O2" s="37" t="s">
        <v>307</v>
      </c>
      <c r="P2" s="38">
        <v>1</v>
      </c>
      <c r="R2" t="s">
        <v>296</v>
      </c>
      <c r="S2" s="30">
        <f>MAX($S$4:$S$4000)</f>
        <v>0.41737488196411698</v>
      </c>
      <c r="T2" s="37" t="s">
        <v>298</v>
      </c>
      <c r="U2" s="25">
        <v>1</v>
      </c>
    </row>
    <row r="3" spans="1:21" x14ac:dyDescent="0.25">
      <c r="A3" s="26">
        <v>20100311</v>
      </c>
      <c r="B3" s="26">
        <v>2472</v>
      </c>
      <c r="C3" s="26" t="s">
        <v>315</v>
      </c>
      <c r="D3" s="26">
        <v>10.59</v>
      </c>
      <c r="E3" s="26">
        <v>11.1</v>
      </c>
      <c r="F3" s="26">
        <v>10.59</v>
      </c>
      <c r="H3" s="3" t="s">
        <v>38</v>
      </c>
      <c r="I3" s="29">
        <f>IF($I$2&lt;5,"",D8/D3-1)</f>
        <v>0.20585457979225685</v>
      </c>
      <c r="M3" t="s">
        <v>293</v>
      </c>
      <c r="N3">
        <f>IF(ISERROR(INDEX($A$4:$A$4000,MATCH($N$2,$N$4:$N$4000,0))),"",INDEX($A$4:$A$4000,MATCH($N$2,$N$4:$N$4000,0)))</f>
        <v>20100312</v>
      </c>
      <c r="O3" t="s">
        <v>293</v>
      </c>
      <c r="P3" s="25" t="str">
        <f>IF(ISERROR(INDEX($A$4:$A$4000,MATCH($P$2,$P$4:$P$4000,0))),"",INDEX($A$4:$A$4000,MATCH($P$2,$P$4:$P$4000,0)))</f>
        <v/>
      </c>
      <c r="R3" t="s">
        <v>293</v>
      </c>
      <c r="S3">
        <f>IF(ISERROR(INDEX($A$4:$A$4000,MATCH($S$2,$S$4:$S$4000,0))),"",INDEX($A$4:$A$4000,MATCH($S$2,$S$4:$S$4000,0)))</f>
        <v>20100323</v>
      </c>
      <c r="T3" t="s">
        <v>293</v>
      </c>
      <c r="U3" s="25">
        <f>IF(ISERROR(INDEX($A$4:$A$4000,MATCH($U$2,$U$4:$U$4000,0))),"",INDEX($A$4:$A$4000,MATCH($U$2,$U$4:$U$4000,0)))</f>
        <v>20100318</v>
      </c>
    </row>
    <row r="4" spans="1:21" x14ac:dyDescent="0.25">
      <c r="A4" s="26">
        <v>20100312</v>
      </c>
      <c r="B4" s="26">
        <v>2472</v>
      </c>
      <c r="C4" s="26" t="s">
        <v>315</v>
      </c>
      <c r="D4" s="26">
        <v>10.65</v>
      </c>
      <c r="E4" s="26">
        <v>10.78</v>
      </c>
      <c r="F4" s="26">
        <v>10.52</v>
      </c>
      <c r="H4" s="3" t="s">
        <v>29</v>
      </c>
      <c r="I4" s="29" t="str">
        <f>IF($I$2&lt;10,"",D13/D3-1)</f>
        <v/>
      </c>
      <c r="K4" t="s">
        <v>65</v>
      </c>
      <c r="L4" s="26">
        <v>1</v>
      </c>
      <c r="M4" t="s">
        <v>39</v>
      </c>
      <c r="N4" s="1">
        <f>IF(L4&gt;$I$2,"",F4/$D$3-1)</f>
        <v>-6.6100094428707123E-3</v>
      </c>
      <c r="O4" s="31"/>
      <c r="P4" s="34" t="str">
        <f>IF(AND(L4&lt;=$I$2,N4&lt;= -0.1),1,"")</f>
        <v/>
      </c>
      <c r="Q4" t="s">
        <v>295</v>
      </c>
      <c r="R4" t="s">
        <v>39</v>
      </c>
      <c r="S4" s="1">
        <f>IF(L4&gt;$I$2,"",E4/$D$3-1)</f>
        <v>1.7941454202077489E-2</v>
      </c>
      <c r="T4" s="1"/>
      <c r="U4" s="35" t="str">
        <f>IF(AND(L4&lt;=$I$2,S4&gt;=0.2),1,"")</f>
        <v/>
      </c>
    </row>
    <row r="5" spans="1:21" x14ac:dyDescent="0.25">
      <c r="A5" s="26">
        <v>20100315</v>
      </c>
      <c r="B5" s="26">
        <v>2472</v>
      </c>
      <c r="C5" s="26" t="s">
        <v>315</v>
      </c>
      <c r="D5" s="26">
        <v>11.39</v>
      </c>
      <c r="E5" s="26">
        <v>11.39</v>
      </c>
      <c r="F5" s="26">
        <v>10.72</v>
      </c>
      <c r="H5" s="3" t="s">
        <v>31</v>
      </c>
      <c r="I5" s="29" t="str">
        <f>IF($I$2&lt;20,"",D23/D3-1)</f>
        <v/>
      </c>
      <c r="L5" s="26">
        <v>2</v>
      </c>
      <c r="M5" t="s">
        <v>40</v>
      </c>
      <c r="N5" s="1">
        <f t="shared" ref="N5:N68" si="0">IF(L5&gt;$I$2,"",F5/$D$3-1)</f>
        <v>1.2275731822474212E-2</v>
      </c>
      <c r="O5" s="31"/>
      <c r="P5" s="34" t="str">
        <f t="shared" ref="P5:P68" si="1">IF(AND(L5&lt;=$I$2,N5&lt;= -0.1),1,"")</f>
        <v/>
      </c>
      <c r="R5" t="s">
        <v>40</v>
      </c>
      <c r="S5" s="1">
        <f>IF(L5&gt;$I$2,"",E5/$D$3-1)</f>
        <v>7.5542965061378808E-2</v>
      </c>
      <c r="T5" s="1"/>
      <c r="U5" s="35" t="str">
        <f t="shared" ref="U5:U68" si="2">IF(AND(L5&lt;=$I$2,S5&gt;=0.2),1,"")</f>
        <v/>
      </c>
    </row>
    <row r="6" spans="1:21" x14ac:dyDescent="0.25">
      <c r="A6" s="26">
        <v>20100316</v>
      </c>
      <c r="B6" s="26">
        <v>2472</v>
      </c>
      <c r="C6" s="26" t="s">
        <v>315</v>
      </c>
      <c r="D6" s="26">
        <v>12.16</v>
      </c>
      <c r="E6" s="26">
        <v>12.16</v>
      </c>
      <c r="F6" s="26">
        <v>11.39</v>
      </c>
      <c r="L6" s="26">
        <v>3</v>
      </c>
      <c r="M6" t="s">
        <v>41</v>
      </c>
      <c r="N6" s="1">
        <f t="shared" si="0"/>
        <v>7.5542965061378808E-2</v>
      </c>
      <c r="O6" s="31"/>
      <c r="P6" s="34" t="str">
        <f t="shared" si="1"/>
        <v/>
      </c>
      <c r="R6" t="s">
        <v>41</v>
      </c>
      <c r="S6" s="1">
        <f>IF(L6&gt;$I$2,"",E6/$D$3-1)</f>
        <v>0.14825306893295576</v>
      </c>
      <c r="T6" s="1"/>
      <c r="U6" s="35" t="str">
        <f t="shared" si="2"/>
        <v/>
      </c>
    </row>
    <row r="7" spans="1:21" x14ac:dyDescent="0.25">
      <c r="A7" s="26">
        <v>20100317</v>
      </c>
      <c r="B7" s="26">
        <v>2472</v>
      </c>
      <c r="C7" s="26" t="s">
        <v>315</v>
      </c>
      <c r="D7" s="26">
        <v>12.61</v>
      </c>
      <c r="E7" s="26">
        <v>12.64</v>
      </c>
      <c r="F7" s="26">
        <v>12.13</v>
      </c>
      <c r="L7" s="26">
        <v>4</v>
      </c>
      <c r="M7" t="s">
        <v>42</v>
      </c>
      <c r="N7" s="1">
        <f t="shared" si="0"/>
        <v>0.14542020774315412</v>
      </c>
      <c r="O7" s="31"/>
      <c r="P7" s="34" t="str">
        <f t="shared" si="1"/>
        <v/>
      </c>
      <c r="R7" t="s">
        <v>42</v>
      </c>
      <c r="S7" s="1">
        <f t="shared" ref="S7:S11" si="3">IF(L7&gt;$I$2,"",E7/$D$3-1)</f>
        <v>0.19357884796978286</v>
      </c>
      <c r="T7" s="1"/>
      <c r="U7" s="35" t="str">
        <f t="shared" si="2"/>
        <v/>
      </c>
    </row>
    <row r="8" spans="1:21" x14ac:dyDescent="0.25">
      <c r="A8" s="26">
        <v>20100318</v>
      </c>
      <c r="B8" s="26">
        <v>2472</v>
      </c>
      <c r="C8" s="26" t="s">
        <v>315</v>
      </c>
      <c r="D8" s="26">
        <v>12.77</v>
      </c>
      <c r="E8" s="26">
        <v>13.35</v>
      </c>
      <c r="F8" s="26">
        <v>12.51</v>
      </c>
      <c r="L8" s="26">
        <v>5</v>
      </c>
      <c r="M8" t="s">
        <v>37</v>
      </c>
      <c r="N8" s="1">
        <f t="shared" si="0"/>
        <v>0.18130311614730887</v>
      </c>
      <c r="O8" s="31"/>
      <c r="P8" s="34" t="str">
        <f t="shared" si="1"/>
        <v/>
      </c>
      <c r="R8" t="s">
        <v>37</v>
      </c>
      <c r="S8" s="1">
        <f t="shared" si="3"/>
        <v>0.26062322946175631</v>
      </c>
      <c r="T8" s="1"/>
      <c r="U8" s="35">
        <f t="shared" si="2"/>
        <v>1</v>
      </c>
    </row>
    <row r="9" spans="1:21" x14ac:dyDescent="0.25">
      <c r="A9" s="26">
        <v>20100319</v>
      </c>
      <c r="B9" s="26">
        <v>2472</v>
      </c>
      <c r="C9" s="26" t="s">
        <v>315</v>
      </c>
      <c r="D9" s="26">
        <v>13.15</v>
      </c>
      <c r="E9" s="26">
        <v>13.22</v>
      </c>
      <c r="F9" s="26">
        <v>12.74</v>
      </c>
      <c r="L9" s="26">
        <v>6</v>
      </c>
      <c r="M9" t="s">
        <v>43</v>
      </c>
      <c r="N9" s="1">
        <f t="shared" si="0"/>
        <v>0.20302171860245521</v>
      </c>
      <c r="O9" s="31"/>
      <c r="P9" s="34" t="str">
        <f t="shared" si="1"/>
        <v/>
      </c>
      <c r="R9" t="s">
        <v>43</v>
      </c>
      <c r="S9" s="1">
        <f t="shared" si="3"/>
        <v>0.24834749763928232</v>
      </c>
      <c r="T9" s="1"/>
      <c r="U9" s="35">
        <f t="shared" si="2"/>
        <v>1</v>
      </c>
    </row>
    <row r="10" spans="1:21" x14ac:dyDescent="0.25">
      <c r="A10" s="26">
        <v>20100322</v>
      </c>
      <c r="B10" s="26">
        <v>2472</v>
      </c>
      <c r="C10" s="26" t="s">
        <v>315</v>
      </c>
      <c r="D10" s="26">
        <v>14.05</v>
      </c>
      <c r="E10" s="26">
        <v>14.05</v>
      </c>
      <c r="F10" s="26">
        <v>13.35</v>
      </c>
      <c r="L10" s="26">
        <v>7</v>
      </c>
      <c r="M10" t="s">
        <v>44</v>
      </c>
      <c r="N10" s="1">
        <f t="shared" si="0"/>
        <v>0.26062322946175631</v>
      </c>
      <c r="O10" s="31"/>
      <c r="P10" s="34" t="str">
        <f t="shared" si="1"/>
        <v/>
      </c>
      <c r="R10" t="s">
        <v>44</v>
      </c>
      <c r="S10" s="1">
        <f t="shared" si="3"/>
        <v>0.32672332389046277</v>
      </c>
      <c r="T10" s="1"/>
      <c r="U10" s="35">
        <f t="shared" si="2"/>
        <v>1</v>
      </c>
    </row>
    <row r="11" spans="1:21" x14ac:dyDescent="0.25">
      <c r="A11" s="26">
        <v>20100323</v>
      </c>
      <c r="B11" s="26">
        <v>2472</v>
      </c>
      <c r="C11" s="26" t="s">
        <v>315</v>
      </c>
      <c r="D11" s="26">
        <v>14.76</v>
      </c>
      <c r="E11" s="26">
        <v>15.01</v>
      </c>
      <c r="F11" s="26">
        <v>14.53</v>
      </c>
      <c r="L11" s="26">
        <v>8</v>
      </c>
      <c r="M11" t="s">
        <v>45</v>
      </c>
      <c r="N11" s="1">
        <f t="shared" si="0"/>
        <v>0.37204910292728988</v>
      </c>
      <c r="O11" s="31"/>
      <c r="P11" s="34" t="str">
        <f t="shared" si="1"/>
        <v/>
      </c>
      <c r="R11" t="s">
        <v>45</v>
      </c>
      <c r="S11" s="1">
        <f t="shared" si="3"/>
        <v>0.41737488196411698</v>
      </c>
      <c r="T11" s="1"/>
      <c r="U11" s="35">
        <f t="shared" si="2"/>
        <v>1</v>
      </c>
    </row>
    <row r="12" spans="1:21" x14ac:dyDescent="0.25">
      <c r="A12" s="26"/>
      <c r="B12" s="26"/>
      <c r="C12" s="26"/>
      <c r="D12" s="26"/>
      <c r="E12" s="26"/>
      <c r="F12" s="26"/>
      <c r="L12" s="26">
        <v>9</v>
      </c>
      <c r="M12" t="s">
        <v>46</v>
      </c>
      <c r="N12" s="1" t="str">
        <f>IF(L12&gt;$I$2,"",F12/$D$3-1)</f>
        <v/>
      </c>
      <c r="O12" s="31"/>
      <c r="P12" s="34" t="str">
        <f t="shared" si="1"/>
        <v/>
      </c>
      <c r="R12" t="s">
        <v>46</v>
      </c>
      <c r="S12" s="1" t="str">
        <f>IF(L12&gt;$I$2,"",E12/$D$3-1)</f>
        <v/>
      </c>
      <c r="T12" s="1"/>
      <c r="U12" s="35" t="str">
        <f t="shared" si="2"/>
        <v/>
      </c>
    </row>
    <row r="13" spans="1:21" x14ac:dyDescent="0.25">
      <c r="A13" s="26"/>
      <c r="B13" s="26"/>
      <c r="C13" s="26"/>
      <c r="D13" s="26"/>
      <c r="E13" s="26"/>
      <c r="F13" s="26"/>
      <c r="L13" s="26">
        <v>10</v>
      </c>
      <c r="M13" t="s">
        <v>47</v>
      </c>
      <c r="N13" s="1" t="str">
        <f t="shared" si="0"/>
        <v/>
      </c>
      <c r="O13" s="31"/>
      <c r="P13" s="34" t="str">
        <f t="shared" si="1"/>
        <v/>
      </c>
      <c r="R13" t="s">
        <v>47</v>
      </c>
      <c r="S13" s="1" t="str">
        <f>IF(L13&gt;$I$2,"",E13/$D$3-1)</f>
        <v/>
      </c>
      <c r="T13" s="1"/>
      <c r="U13" s="35" t="str">
        <f t="shared" si="2"/>
        <v/>
      </c>
    </row>
    <row r="14" spans="1:21" x14ac:dyDescent="0.25">
      <c r="A14" s="26"/>
      <c r="B14" s="26"/>
      <c r="C14" s="26"/>
      <c r="D14" s="26"/>
      <c r="E14" s="26"/>
      <c r="F14" s="26"/>
      <c r="L14" s="26">
        <v>11</v>
      </c>
      <c r="M14" t="s">
        <v>48</v>
      </c>
      <c r="N14" s="1" t="str">
        <f t="shared" si="0"/>
        <v/>
      </c>
      <c r="O14" s="31"/>
      <c r="P14" s="34" t="str">
        <f t="shared" si="1"/>
        <v/>
      </c>
      <c r="R14" t="s">
        <v>48</v>
      </c>
      <c r="S14" s="1" t="str">
        <f>IF(L14&gt;$I$2,"",E14/$D$3-1)</f>
        <v/>
      </c>
      <c r="T14" s="1"/>
      <c r="U14" s="35" t="str">
        <f t="shared" si="2"/>
        <v/>
      </c>
    </row>
    <row r="15" spans="1:21" x14ac:dyDescent="0.25">
      <c r="A15" s="26"/>
      <c r="B15" s="26"/>
      <c r="C15" s="26"/>
      <c r="D15" s="26"/>
      <c r="E15" s="26"/>
      <c r="F15" s="26"/>
      <c r="L15" s="26">
        <v>12</v>
      </c>
      <c r="M15" t="s">
        <v>49</v>
      </c>
      <c r="N15" s="1" t="str">
        <f t="shared" si="0"/>
        <v/>
      </c>
      <c r="O15" s="31"/>
      <c r="P15" s="34" t="str">
        <f t="shared" si="1"/>
        <v/>
      </c>
      <c r="R15" t="s">
        <v>49</v>
      </c>
      <c r="S15" s="1" t="str">
        <f t="shared" ref="S15:S18" si="4">IF(L15&gt;$I$2,"",E15/$D$3-1)</f>
        <v/>
      </c>
      <c r="T15" s="1"/>
      <c r="U15" s="35" t="str">
        <f t="shared" si="2"/>
        <v/>
      </c>
    </row>
    <row r="16" spans="1:21" x14ac:dyDescent="0.25">
      <c r="A16" s="26"/>
      <c r="B16" s="26"/>
      <c r="C16" s="26"/>
      <c r="D16" s="26"/>
      <c r="E16" s="26"/>
      <c r="F16" s="26"/>
      <c r="L16" s="26">
        <v>13</v>
      </c>
      <c r="M16" t="s">
        <v>50</v>
      </c>
      <c r="N16" s="1" t="str">
        <f t="shared" si="0"/>
        <v/>
      </c>
      <c r="O16" s="31"/>
      <c r="P16" s="34" t="str">
        <f t="shared" si="1"/>
        <v/>
      </c>
      <c r="R16" t="s">
        <v>50</v>
      </c>
      <c r="S16" s="1" t="str">
        <f t="shared" si="4"/>
        <v/>
      </c>
      <c r="T16" s="1"/>
      <c r="U16" s="35" t="str">
        <f t="shared" si="2"/>
        <v/>
      </c>
    </row>
    <row r="17" spans="1:21" x14ac:dyDescent="0.25">
      <c r="A17" s="26"/>
      <c r="B17" s="26"/>
      <c r="C17" s="26"/>
      <c r="D17" s="26"/>
      <c r="E17" s="26"/>
      <c r="F17" s="26"/>
      <c r="L17" s="26">
        <v>14</v>
      </c>
      <c r="M17" t="s">
        <v>51</v>
      </c>
      <c r="N17" s="1" t="str">
        <f t="shared" si="0"/>
        <v/>
      </c>
      <c r="O17" s="31"/>
      <c r="P17" s="34" t="str">
        <f t="shared" si="1"/>
        <v/>
      </c>
      <c r="R17" t="s">
        <v>51</v>
      </c>
      <c r="S17" s="1" t="str">
        <f t="shared" si="4"/>
        <v/>
      </c>
      <c r="T17" s="1"/>
      <c r="U17" s="35" t="str">
        <f t="shared" si="2"/>
        <v/>
      </c>
    </row>
    <row r="18" spans="1:21" x14ac:dyDescent="0.25">
      <c r="A18" s="26"/>
      <c r="B18" s="26"/>
      <c r="C18" s="26"/>
      <c r="D18" s="26"/>
      <c r="E18" s="26"/>
      <c r="F18" s="26"/>
      <c r="L18" s="26">
        <v>15</v>
      </c>
      <c r="M18" t="s">
        <v>52</v>
      </c>
      <c r="N18" s="1" t="str">
        <f t="shared" si="0"/>
        <v/>
      </c>
      <c r="O18" s="31"/>
      <c r="P18" s="34" t="str">
        <f t="shared" si="1"/>
        <v/>
      </c>
      <c r="R18" t="s">
        <v>52</v>
      </c>
      <c r="S18" s="1" t="str">
        <f t="shared" si="4"/>
        <v/>
      </c>
      <c r="T18" s="1"/>
      <c r="U18" s="35" t="str">
        <f t="shared" si="2"/>
        <v/>
      </c>
    </row>
    <row r="19" spans="1:21" x14ac:dyDescent="0.25">
      <c r="A19" s="26"/>
      <c r="B19" s="26"/>
      <c r="C19" s="26"/>
      <c r="D19" s="26"/>
      <c r="E19" s="26"/>
      <c r="F19" s="26"/>
      <c r="L19" s="26">
        <v>16</v>
      </c>
      <c r="M19" t="s">
        <v>53</v>
      </c>
      <c r="N19" s="1" t="str">
        <f t="shared" si="0"/>
        <v/>
      </c>
      <c r="O19" s="31"/>
      <c r="P19" s="34" t="str">
        <f t="shared" si="1"/>
        <v/>
      </c>
      <c r="R19" t="s">
        <v>53</v>
      </c>
      <c r="S19" s="1" t="str">
        <f>IF(L19&gt;$I$2,"",E19/$D$3-1)</f>
        <v/>
      </c>
      <c r="T19" s="1"/>
      <c r="U19" s="35" t="str">
        <f t="shared" si="2"/>
        <v/>
      </c>
    </row>
    <row r="20" spans="1:21" x14ac:dyDescent="0.25">
      <c r="A20" s="26"/>
      <c r="B20" s="26"/>
      <c r="C20" s="26"/>
      <c r="D20" s="26"/>
      <c r="E20" s="26"/>
      <c r="F20" s="26"/>
      <c r="L20" s="26">
        <v>17</v>
      </c>
      <c r="M20" t="s">
        <v>54</v>
      </c>
      <c r="N20" s="1" t="str">
        <f t="shared" si="0"/>
        <v/>
      </c>
      <c r="O20" s="31"/>
      <c r="P20" s="34" t="str">
        <f t="shared" si="1"/>
        <v/>
      </c>
      <c r="R20" t="s">
        <v>54</v>
      </c>
      <c r="S20" s="1" t="str">
        <f>IF(L20&gt;$I$2,"",E20/$D$3-1)</f>
        <v/>
      </c>
      <c r="T20" s="1"/>
      <c r="U20" s="35" t="str">
        <f t="shared" si="2"/>
        <v/>
      </c>
    </row>
    <row r="21" spans="1:21" x14ac:dyDescent="0.25">
      <c r="A21" s="26"/>
      <c r="B21" s="26"/>
      <c r="C21" s="26"/>
      <c r="D21" s="26"/>
      <c r="E21" s="26"/>
      <c r="F21" s="26"/>
      <c r="L21" s="26">
        <v>18</v>
      </c>
      <c r="M21" t="s">
        <v>55</v>
      </c>
      <c r="N21" s="1" t="str">
        <f t="shared" si="0"/>
        <v/>
      </c>
      <c r="O21" s="31"/>
      <c r="P21" s="34" t="str">
        <f t="shared" si="1"/>
        <v/>
      </c>
      <c r="R21" t="s">
        <v>55</v>
      </c>
      <c r="S21" s="1" t="str">
        <f>IF(L21&gt;$I$2,"",E21/$D$3-1)</f>
        <v/>
      </c>
      <c r="T21" s="1"/>
      <c r="U21" s="35" t="str">
        <f t="shared" si="2"/>
        <v/>
      </c>
    </row>
    <row r="22" spans="1:21" x14ac:dyDescent="0.25">
      <c r="A22" s="26"/>
      <c r="B22" s="26"/>
      <c r="C22" s="26"/>
      <c r="D22" s="26"/>
      <c r="E22" s="26"/>
      <c r="F22" s="26"/>
      <c r="L22" s="26">
        <v>19</v>
      </c>
      <c r="M22" t="s">
        <v>56</v>
      </c>
      <c r="N22" s="1" t="str">
        <f t="shared" si="0"/>
        <v/>
      </c>
      <c r="O22" s="31"/>
      <c r="P22" s="34" t="str">
        <f t="shared" si="1"/>
        <v/>
      </c>
      <c r="R22" t="s">
        <v>56</v>
      </c>
      <c r="S22" s="1" t="str">
        <f>IF(L22&gt;$I$2,"",E22/$D$3-1)</f>
        <v/>
      </c>
      <c r="T22" s="1"/>
      <c r="U22" s="35" t="str">
        <f t="shared" si="2"/>
        <v/>
      </c>
    </row>
    <row r="23" spans="1:21" x14ac:dyDescent="0.25">
      <c r="A23" s="26"/>
      <c r="B23" s="26"/>
      <c r="C23" s="26"/>
      <c r="D23" s="26"/>
      <c r="E23" s="26"/>
      <c r="F23" s="26"/>
      <c r="L23" s="26">
        <v>20</v>
      </c>
      <c r="M23" t="s">
        <v>57</v>
      </c>
      <c r="N23" s="1" t="str">
        <f t="shared" si="0"/>
        <v/>
      </c>
      <c r="O23" s="31"/>
      <c r="P23" s="34" t="str">
        <f t="shared" si="1"/>
        <v/>
      </c>
      <c r="R23" t="s">
        <v>57</v>
      </c>
      <c r="S23" s="1" t="str">
        <f>IF(L23&gt;$I$2,"",E23/$D$3-1)</f>
        <v/>
      </c>
      <c r="T23" s="1"/>
      <c r="U23" s="35" t="str">
        <f t="shared" si="2"/>
        <v/>
      </c>
    </row>
    <row r="24" spans="1:21" x14ac:dyDescent="0.25">
      <c r="A24" s="26"/>
      <c r="B24" s="26"/>
      <c r="C24" s="26"/>
      <c r="D24" s="26"/>
      <c r="E24" s="26"/>
      <c r="F24" s="26"/>
      <c r="L24" s="26">
        <v>21</v>
      </c>
      <c r="M24" t="s">
        <v>58</v>
      </c>
      <c r="N24" s="1" t="str">
        <f t="shared" si="0"/>
        <v/>
      </c>
      <c r="O24" s="31"/>
      <c r="P24" s="34" t="str">
        <f t="shared" si="1"/>
        <v/>
      </c>
      <c r="R24" t="s">
        <v>58</v>
      </c>
      <c r="S24" s="1" t="str">
        <f t="shared" ref="S24:S87" si="5">IF(L24&gt;$I$2,"",E24/$D$3-1)</f>
        <v/>
      </c>
      <c r="T24" s="1"/>
      <c r="U24" s="35" t="str">
        <f t="shared" si="2"/>
        <v/>
      </c>
    </row>
    <row r="25" spans="1:21" x14ac:dyDescent="0.25">
      <c r="A25" s="26"/>
      <c r="B25" s="26"/>
      <c r="C25" s="26"/>
      <c r="D25" s="26"/>
      <c r="E25" s="26"/>
      <c r="F25" s="26"/>
      <c r="L25" s="26">
        <v>22</v>
      </c>
      <c r="M25" t="s">
        <v>59</v>
      </c>
      <c r="N25" s="1" t="str">
        <f t="shared" si="0"/>
        <v/>
      </c>
      <c r="O25" s="31"/>
      <c r="P25" s="34" t="str">
        <f t="shared" si="1"/>
        <v/>
      </c>
      <c r="R25" t="s">
        <v>59</v>
      </c>
      <c r="S25" s="1" t="str">
        <f t="shared" si="5"/>
        <v/>
      </c>
      <c r="T25" s="1"/>
      <c r="U25" s="35" t="str">
        <f t="shared" si="2"/>
        <v/>
      </c>
    </row>
    <row r="26" spans="1:21" x14ac:dyDescent="0.25">
      <c r="A26" s="26"/>
      <c r="B26" s="26"/>
      <c r="C26" s="26"/>
      <c r="D26" s="26"/>
      <c r="E26" s="26"/>
      <c r="F26" s="26"/>
      <c r="L26" s="26">
        <v>23</v>
      </c>
      <c r="M26" t="s">
        <v>60</v>
      </c>
      <c r="N26" s="1" t="str">
        <f t="shared" si="0"/>
        <v/>
      </c>
      <c r="O26" s="31"/>
      <c r="P26" s="34" t="str">
        <f t="shared" si="1"/>
        <v/>
      </c>
      <c r="R26" t="s">
        <v>60</v>
      </c>
      <c r="S26" s="1" t="str">
        <f t="shared" si="5"/>
        <v/>
      </c>
      <c r="T26" s="1"/>
      <c r="U26" s="35" t="str">
        <f t="shared" si="2"/>
        <v/>
      </c>
    </row>
    <row r="27" spans="1:21" x14ac:dyDescent="0.25">
      <c r="A27" s="16"/>
      <c r="B27" s="16"/>
      <c r="C27" s="16"/>
      <c r="D27" s="16"/>
      <c r="E27" s="16"/>
      <c r="F27" s="16"/>
      <c r="G27" s="9"/>
      <c r="H27" s="9"/>
      <c r="I27" s="9"/>
      <c r="J27" s="9"/>
      <c r="K27" s="9"/>
      <c r="L27" s="16">
        <v>24</v>
      </c>
      <c r="M27" s="9" t="s">
        <v>66</v>
      </c>
      <c r="N27" s="33" t="str">
        <f t="shared" si="0"/>
        <v/>
      </c>
      <c r="O27" s="32"/>
      <c r="P27" s="34" t="str">
        <f t="shared" si="1"/>
        <v/>
      </c>
      <c r="Q27" s="9"/>
      <c r="R27" s="9" t="s">
        <v>61</v>
      </c>
      <c r="S27" s="33" t="str">
        <f t="shared" si="5"/>
        <v/>
      </c>
      <c r="T27" s="33"/>
      <c r="U27" s="35" t="str">
        <f t="shared" si="2"/>
        <v/>
      </c>
    </row>
    <row r="28" spans="1:21" x14ac:dyDescent="0.25">
      <c r="A28" s="26"/>
      <c r="B28" s="26"/>
      <c r="C28" s="26"/>
      <c r="D28" s="26"/>
      <c r="E28" s="26"/>
      <c r="F28" s="26"/>
      <c r="L28" s="26">
        <v>25</v>
      </c>
      <c r="M28" t="s">
        <v>67</v>
      </c>
      <c r="N28" s="1" t="str">
        <f t="shared" si="0"/>
        <v/>
      </c>
      <c r="O28" s="31"/>
      <c r="P28" s="34" t="str">
        <f t="shared" si="1"/>
        <v/>
      </c>
      <c r="R28" t="s">
        <v>67</v>
      </c>
      <c r="S28" s="1" t="str">
        <f>IF(L28&gt;$I$2,"",E28/$D$3-1)</f>
        <v/>
      </c>
      <c r="T28" s="1"/>
      <c r="U28" s="35" t="str">
        <f t="shared" si="2"/>
        <v/>
      </c>
    </row>
    <row r="29" spans="1:21" x14ac:dyDescent="0.25">
      <c r="A29" s="26"/>
      <c r="B29" s="26"/>
      <c r="C29" s="26"/>
      <c r="D29" s="26"/>
      <c r="E29" s="26"/>
      <c r="F29" s="26"/>
      <c r="L29" s="26">
        <v>26</v>
      </c>
      <c r="M29" t="s">
        <v>68</v>
      </c>
      <c r="N29" s="1" t="str">
        <f t="shared" si="0"/>
        <v/>
      </c>
      <c r="O29" s="31"/>
      <c r="P29" s="34" t="str">
        <f t="shared" si="1"/>
        <v/>
      </c>
      <c r="R29" t="s">
        <v>68</v>
      </c>
      <c r="S29" s="1" t="str">
        <f t="shared" si="5"/>
        <v/>
      </c>
      <c r="T29" s="1"/>
      <c r="U29" s="35" t="str">
        <f t="shared" si="2"/>
        <v/>
      </c>
    </row>
    <row r="30" spans="1:21" x14ac:dyDescent="0.25">
      <c r="A30" s="26"/>
      <c r="B30" s="26"/>
      <c r="C30" s="26"/>
      <c r="D30" s="26"/>
      <c r="E30" s="26"/>
      <c r="F30" s="26"/>
      <c r="L30" s="26">
        <v>27</v>
      </c>
      <c r="M30" t="s">
        <v>69</v>
      </c>
      <c r="N30" s="1" t="str">
        <f t="shared" si="0"/>
        <v/>
      </c>
      <c r="O30" s="31"/>
      <c r="P30" s="34" t="str">
        <f t="shared" si="1"/>
        <v/>
      </c>
      <c r="R30" t="s">
        <v>69</v>
      </c>
      <c r="S30" s="1" t="str">
        <f t="shared" si="5"/>
        <v/>
      </c>
      <c r="T30" s="1"/>
      <c r="U30" s="35" t="str">
        <f t="shared" si="2"/>
        <v/>
      </c>
    </row>
    <row r="31" spans="1:21" x14ac:dyDescent="0.25">
      <c r="A31" s="26"/>
      <c r="B31" s="26"/>
      <c r="C31" s="26"/>
      <c r="D31" s="26"/>
      <c r="E31" s="26"/>
      <c r="F31" s="26"/>
      <c r="L31" s="26">
        <v>28</v>
      </c>
      <c r="M31" t="s">
        <v>292</v>
      </c>
      <c r="N31" s="1" t="str">
        <f t="shared" si="0"/>
        <v/>
      </c>
      <c r="O31" s="31"/>
      <c r="P31" s="34" t="str">
        <f t="shared" si="1"/>
        <v/>
      </c>
      <c r="R31" t="s">
        <v>292</v>
      </c>
      <c r="S31" s="1" t="str">
        <f t="shared" si="5"/>
        <v/>
      </c>
      <c r="T31" s="1"/>
      <c r="U31" s="35" t="str">
        <f t="shared" si="2"/>
        <v/>
      </c>
    </row>
    <row r="32" spans="1:21" x14ac:dyDescent="0.25">
      <c r="A32" s="26"/>
      <c r="B32" s="26"/>
      <c r="C32" s="26"/>
      <c r="D32" s="26"/>
      <c r="E32" s="26"/>
      <c r="F32" s="26"/>
      <c r="L32" s="26">
        <v>29</v>
      </c>
      <c r="M32" t="s">
        <v>291</v>
      </c>
      <c r="N32" s="1" t="str">
        <f t="shared" si="0"/>
        <v/>
      </c>
      <c r="O32" s="31"/>
      <c r="P32" s="34" t="str">
        <f t="shared" si="1"/>
        <v/>
      </c>
      <c r="R32" t="s">
        <v>291</v>
      </c>
      <c r="S32" s="1" t="str">
        <f t="shared" si="5"/>
        <v/>
      </c>
      <c r="T32" s="1"/>
      <c r="U32" s="35" t="str">
        <f t="shared" si="2"/>
        <v/>
      </c>
    </row>
    <row r="33" spans="1:21" x14ac:dyDescent="0.25">
      <c r="A33" s="26"/>
      <c r="B33" s="26"/>
      <c r="C33" s="26"/>
      <c r="D33" s="26"/>
      <c r="E33" s="26"/>
      <c r="F33" s="26"/>
      <c r="L33" s="26">
        <v>30</v>
      </c>
      <c r="M33" t="s">
        <v>290</v>
      </c>
      <c r="N33" s="1" t="str">
        <f t="shared" si="0"/>
        <v/>
      </c>
      <c r="O33" s="31"/>
      <c r="P33" s="34" t="str">
        <f t="shared" si="1"/>
        <v/>
      </c>
      <c r="R33" t="s">
        <v>290</v>
      </c>
      <c r="S33" s="1" t="str">
        <f t="shared" si="5"/>
        <v/>
      </c>
      <c r="T33" s="1"/>
      <c r="U33" s="35" t="str">
        <f t="shared" si="2"/>
        <v/>
      </c>
    </row>
    <row r="34" spans="1:21" x14ac:dyDescent="0.25">
      <c r="A34" s="26"/>
      <c r="B34" s="26"/>
      <c r="C34" s="26"/>
      <c r="D34" s="26"/>
      <c r="E34" s="26"/>
      <c r="F34" s="26"/>
      <c r="L34" s="26">
        <v>31</v>
      </c>
      <c r="M34" t="s">
        <v>289</v>
      </c>
      <c r="N34" s="1" t="str">
        <f t="shared" si="0"/>
        <v/>
      </c>
      <c r="O34" s="31"/>
      <c r="P34" s="34" t="str">
        <f t="shared" si="1"/>
        <v/>
      </c>
      <c r="R34" t="s">
        <v>289</v>
      </c>
      <c r="S34" s="1" t="str">
        <f t="shared" si="5"/>
        <v/>
      </c>
      <c r="T34" s="1"/>
      <c r="U34" s="35" t="str">
        <f t="shared" si="2"/>
        <v/>
      </c>
    </row>
    <row r="35" spans="1:21" x14ac:dyDescent="0.25">
      <c r="A35" s="26"/>
      <c r="B35" s="26"/>
      <c r="C35" s="26"/>
      <c r="D35" s="26"/>
      <c r="E35" s="26"/>
      <c r="F35" s="26"/>
      <c r="L35" s="26">
        <v>32</v>
      </c>
      <c r="M35" t="s">
        <v>288</v>
      </c>
      <c r="N35" s="1" t="str">
        <f t="shared" si="0"/>
        <v/>
      </c>
      <c r="O35" s="31"/>
      <c r="P35" s="34" t="str">
        <f t="shared" si="1"/>
        <v/>
      </c>
      <c r="R35" t="s">
        <v>288</v>
      </c>
      <c r="S35" s="1" t="str">
        <f t="shared" si="5"/>
        <v/>
      </c>
      <c r="T35" s="1"/>
      <c r="U35" s="35" t="str">
        <f t="shared" si="2"/>
        <v/>
      </c>
    </row>
    <row r="36" spans="1:21" x14ac:dyDescent="0.25">
      <c r="A36" s="26"/>
      <c r="B36" s="26"/>
      <c r="C36" s="26"/>
      <c r="D36" s="26"/>
      <c r="E36" s="26"/>
      <c r="F36" s="26"/>
      <c r="L36" s="26">
        <v>33</v>
      </c>
      <c r="M36" t="s">
        <v>287</v>
      </c>
      <c r="N36" s="1" t="str">
        <f t="shared" si="0"/>
        <v/>
      </c>
      <c r="O36" s="31"/>
      <c r="P36" s="34" t="str">
        <f t="shared" si="1"/>
        <v/>
      </c>
      <c r="R36" t="s">
        <v>287</v>
      </c>
      <c r="S36" s="1" t="str">
        <f t="shared" si="5"/>
        <v/>
      </c>
      <c r="T36" s="1"/>
      <c r="U36" s="35" t="str">
        <f t="shared" si="2"/>
        <v/>
      </c>
    </row>
    <row r="37" spans="1:21" x14ac:dyDescent="0.25">
      <c r="A37" s="26"/>
      <c r="B37" s="26"/>
      <c r="C37" s="26"/>
      <c r="D37" s="26"/>
      <c r="E37" s="26"/>
      <c r="F37" s="26"/>
      <c r="L37" s="26">
        <v>34</v>
      </c>
      <c r="M37" t="s">
        <v>286</v>
      </c>
      <c r="N37" s="1" t="str">
        <f t="shared" si="0"/>
        <v/>
      </c>
      <c r="O37" s="31"/>
      <c r="P37" s="34" t="str">
        <f t="shared" si="1"/>
        <v/>
      </c>
      <c r="R37" t="s">
        <v>286</v>
      </c>
      <c r="S37" s="1" t="str">
        <f t="shared" si="5"/>
        <v/>
      </c>
      <c r="T37" s="1"/>
      <c r="U37" s="35" t="str">
        <f t="shared" si="2"/>
        <v/>
      </c>
    </row>
    <row r="38" spans="1:21" x14ac:dyDescent="0.25">
      <c r="A38" s="26"/>
      <c r="B38" s="26"/>
      <c r="C38" s="26"/>
      <c r="D38" s="26"/>
      <c r="E38" s="26"/>
      <c r="F38" s="26"/>
      <c r="L38" s="26">
        <v>35</v>
      </c>
      <c r="M38" t="s">
        <v>285</v>
      </c>
      <c r="N38" s="1" t="str">
        <f t="shared" si="0"/>
        <v/>
      </c>
      <c r="O38" s="31"/>
      <c r="P38" s="34" t="str">
        <f t="shared" si="1"/>
        <v/>
      </c>
      <c r="R38" t="s">
        <v>285</v>
      </c>
      <c r="S38" s="1" t="str">
        <f t="shared" si="5"/>
        <v/>
      </c>
      <c r="T38" s="1"/>
      <c r="U38" s="35" t="str">
        <f t="shared" si="2"/>
        <v/>
      </c>
    </row>
    <row r="39" spans="1:21" x14ac:dyDescent="0.25">
      <c r="A39" s="26"/>
      <c r="B39" s="26"/>
      <c r="C39" s="26"/>
      <c r="D39" s="26"/>
      <c r="E39" s="26"/>
      <c r="F39" s="26"/>
      <c r="L39" s="26">
        <v>36</v>
      </c>
      <c r="M39" t="s">
        <v>284</v>
      </c>
      <c r="N39" s="1" t="str">
        <f t="shared" si="0"/>
        <v/>
      </c>
      <c r="O39" s="31"/>
      <c r="P39" s="34" t="str">
        <f t="shared" si="1"/>
        <v/>
      </c>
      <c r="R39" t="s">
        <v>284</v>
      </c>
      <c r="S39" s="1" t="str">
        <f t="shared" si="5"/>
        <v/>
      </c>
      <c r="T39" s="1"/>
      <c r="U39" s="35" t="str">
        <f t="shared" si="2"/>
        <v/>
      </c>
    </row>
    <row r="40" spans="1:21" x14ac:dyDescent="0.25">
      <c r="A40" s="26"/>
      <c r="B40" s="26"/>
      <c r="C40" s="26"/>
      <c r="D40" s="26"/>
      <c r="E40" s="26"/>
      <c r="F40" s="26"/>
      <c r="L40" s="26">
        <v>37</v>
      </c>
      <c r="M40" t="s">
        <v>283</v>
      </c>
      <c r="N40" s="1" t="str">
        <f t="shared" si="0"/>
        <v/>
      </c>
      <c r="O40" s="31"/>
      <c r="P40" s="34" t="str">
        <f t="shared" si="1"/>
        <v/>
      </c>
      <c r="R40" t="s">
        <v>283</v>
      </c>
      <c r="S40" s="1" t="str">
        <f t="shared" si="5"/>
        <v/>
      </c>
      <c r="T40" s="1"/>
      <c r="U40" s="35" t="str">
        <f t="shared" si="2"/>
        <v/>
      </c>
    </row>
    <row r="41" spans="1:21" x14ac:dyDescent="0.25">
      <c r="A41" s="26"/>
      <c r="B41" s="26"/>
      <c r="C41" s="26"/>
      <c r="D41" s="26"/>
      <c r="E41" s="26"/>
      <c r="F41" s="26"/>
      <c r="L41" s="26">
        <v>38</v>
      </c>
      <c r="M41" t="s">
        <v>282</v>
      </c>
      <c r="N41" s="1" t="str">
        <f t="shared" si="0"/>
        <v/>
      </c>
      <c r="O41" s="31"/>
      <c r="P41" s="34" t="str">
        <f t="shared" si="1"/>
        <v/>
      </c>
      <c r="R41" t="s">
        <v>282</v>
      </c>
      <c r="S41" s="1" t="str">
        <f t="shared" si="5"/>
        <v/>
      </c>
      <c r="T41" s="1"/>
      <c r="U41" s="35" t="str">
        <f t="shared" si="2"/>
        <v/>
      </c>
    </row>
    <row r="42" spans="1:21" x14ac:dyDescent="0.25">
      <c r="A42" s="26"/>
      <c r="B42" s="26"/>
      <c r="C42" s="26"/>
      <c r="D42" s="26"/>
      <c r="E42" s="26"/>
      <c r="F42" s="26"/>
      <c r="L42" s="26">
        <v>39</v>
      </c>
      <c r="M42" t="s">
        <v>281</v>
      </c>
      <c r="N42" s="1" t="str">
        <f t="shared" si="0"/>
        <v/>
      </c>
      <c r="O42" s="31"/>
      <c r="P42" s="34" t="str">
        <f t="shared" si="1"/>
        <v/>
      </c>
      <c r="R42" t="s">
        <v>281</v>
      </c>
      <c r="S42" s="1" t="str">
        <f t="shared" si="5"/>
        <v/>
      </c>
      <c r="T42" s="1"/>
      <c r="U42" s="35" t="str">
        <f t="shared" si="2"/>
        <v/>
      </c>
    </row>
    <row r="43" spans="1:21" x14ac:dyDescent="0.25">
      <c r="A43" s="26"/>
      <c r="B43" s="26"/>
      <c r="C43" s="26"/>
      <c r="D43" s="26"/>
      <c r="E43" s="26"/>
      <c r="F43" s="26"/>
      <c r="L43" s="26">
        <v>40</v>
      </c>
      <c r="M43" t="s">
        <v>280</v>
      </c>
      <c r="N43" s="1" t="str">
        <f t="shared" si="0"/>
        <v/>
      </c>
      <c r="O43" s="31"/>
      <c r="P43" s="34" t="str">
        <f t="shared" si="1"/>
        <v/>
      </c>
      <c r="R43" t="s">
        <v>280</v>
      </c>
      <c r="S43" s="1" t="str">
        <f t="shared" si="5"/>
        <v/>
      </c>
      <c r="T43" s="1"/>
      <c r="U43" s="35" t="str">
        <f t="shared" si="2"/>
        <v/>
      </c>
    </row>
    <row r="44" spans="1:21" x14ac:dyDescent="0.25">
      <c r="A44" s="26"/>
      <c r="B44" s="26"/>
      <c r="C44" s="26"/>
      <c r="D44" s="26"/>
      <c r="E44" s="26"/>
      <c r="F44" s="26"/>
      <c r="L44" s="26">
        <v>41</v>
      </c>
      <c r="M44" t="s">
        <v>279</v>
      </c>
      <c r="N44" s="1" t="str">
        <f t="shared" si="0"/>
        <v/>
      </c>
      <c r="O44" s="31"/>
      <c r="P44" s="34" t="str">
        <f t="shared" si="1"/>
        <v/>
      </c>
      <c r="R44" t="s">
        <v>279</v>
      </c>
      <c r="S44" s="1" t="str">
        <f t="shared" si="5"/>
        <v/>
      </c>
      <c r="T44" s="1"/>
      <c r="U44" s="35" t="str">
        <f t="shared" si="2"/>
        <v/>
      </c>
    </row>
    <row r="45" spans="1:21" x14ac:dyDescent="0.25">
      <c r="A45" s="26"/>
      <c r="B45" s="26"/>
      <c r="C45" s="26"/>
      <c r="D45" s="26"/>
      <c r="E45" s="26"/>
      <c r="F45" s="26"/>
      <c r="L45" s="26">
        <v>42</v>
      </c>
      <c r="M45" t="s">
        <v>278</v>
      </c>
      <c r="N45" s="1" t="str">
        <f t="shared" si="0"/>
        <v/>
      </c>
      <c r="O45" s="31"/>
      <c r="P45" s="34" t="str">
        <f t="shared" si="1"/>
        <v/>
      </c>
      <c r="R45" t="s">
        <v>278</v>
      </c>
      <c r="S45" s="1" t="str">
        <f t="shared" si="5"/>
        <v/>
      </c>
      <c r="T45" s="1"/>
      <c r="U45" s="35" t="str">
        <f t="shared" si="2"/>
        <v/>
      </c>
    </row>
    <row r="46" spans="1:21" x14ac:dyDescent="0.25">
      <c r="A46" s="26"/>
      <c r="B46" s="26"/>
      <c r="C46" s="26"/>
      <c r="D46" s="26"/>
      <c r="E46" s="26"/>
      <c r="F46" s="26"/>
      <c r="L46" s="26">
        <v>43</v>
      </c>
      <c r="M46" t="s">
        <v>277</v>
      </c>
      <c r="N46" s="1" t="str">
        <f t="shared" si="0"/>
        <v/>
      </c>
      <c r="O46" s="31"/>
      <c r="P46" s="34" t="str">
        <f t="shared" si="1"/>
        <v/>
      </c>
      <c r="R46" t="s">
        <v>277</v>
      </c>
      <c r="S46" s="1" t="str">
        <f t="shared" si="5"/>
        <v/>
      </c>
      <c r="T46" s="1"/>
      <c r="U46" s="35" t="str">
        <f t="shared" si="2"/>
        <v/>
      </c>
    </row>
    <row r="47" spans="1:21" x14ac:dyDescent="0.25">
      <c r="A47" s="26"/>
      <c r="B47" s="26"/>
      <c r="C47" s="26"/>
      <c r="D47" s="26"/>
      <c r="E47" s="26"/>
      <c r="F47" s="26"/>
      <c r="L47" s="26">
        <v>44</v>
      </c>
      <c r="M47" t="s">
        <v>276</v>
      </c>
      <c r="N47" s="1" t="str">
        <f t="shared" si="0"/>
        <v/>
      </c>
      <c r="O47" s="31"/>
      <c r="P47" s="34" t="str">
        <f t="shared" si="1"/>
        <v/>
      </c>
      <c r="R47" t="s">
        <v>276</v>
      </c>
      <c r="S47" s="1" t="str">
        <f t="shared" si="5"/>
        <v/>
      </c>
      <c r="T47" s="1"/>
      <c r="U47" s="35" t="str">
        <f t="shared" si="2"/>
        <v/>
      </c>
    </row>
    <row r="48" spans="1:21" x14ac:dyDescent="0.25">
      <c r="A48" s="26"/>
      <c r="B48" s="26"/>
      <c r="C48" s="26"/>
      <c r="D48" s="26"/>
      <c r="E48" s="26"/>
      <c r="F48" s="26"/>
      <c r="L48" s="26">
        <v>45</v>
      </c>
      <c r="M48" t="s">
        <v>275</v>
      </c>
      <c r="N48" s="1" t="str">
        <f t="shared" si="0"/>
        <v/>
      </c>
      <c r="O48" s="31"/>
      <c r="P48" s="34" t="str">
        <f t="shared" si="1"/>
        <v/>
      </c>
      <c r="R48" t="s">
        <v>275</v>
      </c>
      <c r="S48" s="1" t="str">
        <f t="shared" si="5"/>
        <v/>
      </c>
      <c r="T48" s="1"/>
      <c r="U48" s="35" t="str">
        <f t="shared" si="2"/>
        <v/>
      </c>
    </row>
    <row r="49" spans="1:21" x14ac:dyDescent="0.25">
      <c r="A49" s="26"/>
      <c r="B49" s="26"/>
      <c r="C49" s="26"/>
      <c r="D49" s="26"/>
      <c r="E49" s="26"/>
      <c r="F49" s="26"/>
      <c r="L49" s="26">
        <v>46</v>
      </c>
      <c r="M49" t="s">
        <v>274</v>
      </c>
      <c r="N49" s="1" t="str">
        <f t="shared" si="0"/>
        <v/>
      </c>
      <c r="O49" s="31"/>
      <c r="P49" s="34" t="str">
        <f t="shared" si="1"/>
        <v/>
      </c>
      <c r="R49" t="s">
        <v>274</v>
      </c>
      <c r="S49" s="1" t="str">
        <f t="shared" si="5"/>
        <v/>
      </c>
      <c r="T49" s="1"/>
      <c r="U49" s="35" t="str">
        <f t="shared" si="2"/>
        <v/>
      </c>
    </row>
    <row r="50" spans="1:21" x14ac:dyDescent="0.25">
      <c r="A50" s="26"/>
      <c r="B50" s="26"/>
      <c r="C50" s="26"/>
      <c r="D50" s="26"/>
      <c r="E50" s="26"/>
      <c r="F50" s="26"/>
      <c r="L50" s="26">
        <v>47</v>
      </c>
      <c r="M50" t="s">
        <v>273</v>
      </c>
      <c r="N50" s="1" t="str">
        <f t="shared" si="0"/>
        <v/>
      </c>
      <c r="O50" s="31"/>
      <c r="P50" s="34" t="str">
        <f t="shared" si="1"/>
        <v/>
      </c>
      <c r="R50" t="s">
        <v>273</v>
      </c>
      <c r="S50" s="1" t="str">
        <f t="shared" si="5"/>
        <v/>
      </c>
      <c r="T50" s="1"/>
      <c r="U50" s="35" t="str">
        <f t="shared" si="2"/>
        <v/>
      </c>
    </row>
    <row r="51" spans="1:21" x14ac:dyDescent="0.25">
      <c r="A51" s="26"/>
      <c r="B51" s="26"/>
      <c r="C51" s="26"/>
      <c r="D51" s="26"/>
      <c r="E51" s="26"/>
      <c r="F51" s="26"/>
      <c r="L51" s="26">
        <v>48</v>
      </c>
      <c r="M51" t="s">
        <v>272</v>
      </c>
      <c r="N51" s="1" t="str">
        <f t="shared" si="0"/>
        <v/>
      </c>
      <c r="O51" s="31"/>
      <c r="P51" s="34" t="str">
        <f t="shared" si="1"/>
        <v/>
      </c>
      <c r="R51" t="s">
        <v>272</v>
      </c>
      <c r="S51" s="1" t="str">
        <f t="shared" si="5"/>
        <v/>
      </c>
      <c r="T51" s="1"/>
      <c r="U51" s="35" t="str">
        <f t="shared" si="2"/>
        <v/>
      </c>
    </row>
    <row r="52" spans="1:21" x14ac:dyDescent="0.25">
      <c r="A52" s="26"/>
      <c r="B52" s="26"/>
      <c r="C52" s="26"/>
      <c r="D52" s="26"/>
      <c r="E52" s="26"/>
      <c r="F52" s="26"/>
      <c r="L52" s="26">
        <v>49</v>
      </c>
      <c r="M52" t="s">
        <v>271</v>
      </c>
      <c r="N52" s="1" t="str">
        <f t="shared" si="0"/>
        <v/>
      </c>
      <c r="O52" s="31"/>
      <c r="P52" s="34" t="str">
        <f t="shared" si="1"/>
        <v/>
      </c>
      <c r="R52" t="s">
        <v>271</v>
      </c>
      <c r="S52" s="1" t="str">
        <f t="shared" si="5"/>
        <v/>
      </c>
      <c r="T52" s="1"/>
      <c r="U52" s="35" t="str">
        <f t="shared" si="2"/>
        <v/>
      </c>
    </row>
    <row r="53" spans="1:21" x14ac:dyDescent="0.25">
      <c r="A53" s="26"/>
      <c r="B53" s="26"/>
      <c r="C53" s="26"/>
      <c r="D53" s="26"/>
      <c r="E53" s="26"/>
      <c r="F53" s="26"/>
      <c r="L53" s="26">
        <v>50</v>
      </c>
      <c r="M53" t="s">
        <v>270</v>
      </c>
      <c r="N53" s="1" t="str">
        <f t="shared" si="0"/>
        <v/>
      </c>
      <c r="O53" s="31"/>
      <c r="P53" s="34" t="str">
        <f t="shared" si="1"/>
        <v/>
      </c>
      <c r="R53" t="s">
        <v>270</v>
      </c>
      <c r="S53" s="1" t="str">
        <f t="shared" si="5"/>
        <v/>
      </c>
      <c r="T53" s="1"/>
      <c r="U53" s="35" t="str">
        <f t="shared" si="2"/>
        <v/>
      </c>
    </row>
    <row r="54" spans="1:21" x14ac:dyDescent="0.25">
      <c r="A54" s="26"/>
      <c r="B54" s="26"/>
      <c r="C54" s="26"/>
      <c r="D54" s="26"/>
      <c r="E54" s="26"/>
      <c r="F54" s="26"/>
      <c r="L54" s="26">
        <v>51</v>
      </c>
      <c r="M54" t="s">
        <v>269</v>
      </c>
      <c r="N54" s="1" t="str">
        <f t="shared" si="0"/>
        <v/>
      </c>
      <c r="O54" s="31"/>
      <c r="P54" s="34" t="str">
        <f t="shared" si="1"/>
        <v/>
      </c>
      <c r="R54" t="s">
        <v>269</v>
      </c>
      <c r="S54" s="1" t="str">
        <f t="shared" si="5"/>
        <v/>
      </c>
      <c r="T54" s="1"/>
      <c r="U54" s="35" t="str">
        <f t="shared" si="2"/>
        <v/>
      </c>
    </row>
    <row r="55" spans="1:21" x14ac:dyDescent="0.25">
      <c r="A55" s="26"/>
      <c r="B55" s="26"/>
      <c r="C55" s="26"/>
      <c r="D55" s="26"/>
      <c r="E55" s="26"/>
      <c r="F55" s="26"/>
      <c r="L55" s="26">
        <v>52</v>
      </c>
      <c r="M55" t="s">
        <v>268</v>
      </c>
      <c r="N55" s="1" t="str">
        <f t="shared" si="0"/>
        <v/>
      </c>
      <c r="O55" s="31"/>
      <c r="P55" s="34" t="str">
        <f t="shared" si="1"/>
        <v/>
      </c>
      <c r="R55" t="s">
        <v>268</v>
      </c>
      <c r="S55" s="1" t="str">
        <f t="shared" si="5"/>
        <v/>
      </c>
      <c r="T55" s="1"/>
      <c r="U55" s="35" t="str">
        <f t="shared" si="2"/>
        <v/>
      </c>
    </row>
    <row r="56" spans="1:21" x14ac:dyDescent="0.25">
      <c r="A56" s="26"/>
      <c r="B56" s="26"/>
      <c r="C56" s="26"/>
      <c r="D56" s="26"/>
      <c r="E56" s="26"/>
      <c r="F56" s="26"/>
      <c r="L56" s="26">
        <v>53</v>
      </c>
      <c r="M56" t="s">
        <v>267</v>
      </c>
      <c r="N56" s="1" t="str">
        <f t="shared" si="0"/>
        <v/>
      </c>
      <c r="O56" s="31"/>
      <c r="P56" s="34" t="str">
        <f t="shared" si="1"/>
        <v/>
      </c>
      <c r="R56" t="s">
        <v>267</v>
      </c>
      <c r="S56" s="1" t="str">
        <f t="shared" si="5"/>
        <v/>
      </c>
      <c r="T56" s="1"/>
      <c r="U56" s="35" t="str">
        <f t="shared" si="2"/>
        <v/>
      </c>
    </row>
    <row r="57" spans="1:21" x14ac:dyDescent="0.25">
      <c r="A57" s="26"/>
      <c r="B57" s="26"/>
      <c r="C57" s="26"/>
      <c r="D57" s="26"/>
      <c r="E57" s="26"/>
      <c r="F57" s="26"/>
      <c r="L57" s="26">
        <v>54</v>
      </c>
      <c r="M57" t="s">
        <v>266</v>
      </c>
      <c r="N57" s="1" t="str">
        <f t="shared" si="0"/>
        <v/>
      </c>
      <c r="O57" s="31"/>
      <c r="P57" s="34" t="str">
        <f t="shared" si="1"/>
        <v/>
      </c>
      <c r="R57" t="s">
        <v>266</v>
      </c>
      <c r="S57" s="1" t="str">
        <f t="shared" si="5"/>
        <v/>
      </c>
      <c r="T57" s="1"/>
      <c r="U57" s="35" t="str">
        <f t="shared" si="2"/>
        <v/>
      </c>
    </row>
    <row r="58" spans="1:21" x14ac:dyDescent="0.25">
      <c r="A58" s="26"/>
      <c r="B58" s="26"/>
      <c r="C58" s="26"/>
      <c r="D58" s="26"/>
      <c r="E58" s="26"/>
      <c r="F58" s="26"/>
      <c r="L58" s="26">
        <v>55</v>
      </c>
      <c r="M58" t="s">
        <v>265</v>
      </c>
      <c r="N58" s="1" t="str">
        <f t="shared" si="0"/>
        <v/>
      </c>
      <c r="O58" s="31"/>
      <c r="P58" s="34" t="str">
        <f t="shared" si="1"/>
        <v/>
      </c>
      <c r="R58" t="s">
        <v>265</v>
      </c>
      <c r="S58" s="1" t="str">
        <f t="shared" si="5"/>
        <v/>
      </c>
      <c r="T58" s="1"/>
      <c r="U58" s="35" t="str">
        <f t="shared" si="2"/>
        <v/>
      </c>
    </row>
    <row r="59" spans="1:21" x14ac:dyDescent="0.25">
      <c r="A59" s="26"/>
      <c r="B59" s="26"/>
      <c r="C59" s="26"/>
      <c r="D59" s="26"/>
      <c r="E59" s="26"/>
      <c r="F59" s="26"/>
      <c r="L59" s="26">
        <v>56</v>
      </c>
      <c r="M59" t="s">
        <v>264</v>
      </c>
      <c r="N59" s="1" t="str">
        <f t="shared" si="0"/>
        <v/>
      </c>
      <c r="O59" s="31"/>
      <c r="P59" s="34" t="str">
        <f t="shared" si="1"/>
        <v/>
      </c>
      <c r="R59" t="s">
        <v>264</v>
      </c>
      <c r="S59" s="1" t="str">
        <f t="shared" si="5"/>
        <v/>
      </c>
      <c r="T59" s="1"/>
      <c r="U59" s="35" t="str">
        <f t="shared" si="2"/>
        <v/>
      </c>
    </row>
    <row r="60" spans="1:21" x14ac:dyDescent="0.25">
      <c r="A60" s="26"/>
      <c r="B60" s="26"/>
      <c r="C60" s="26"/>
      <c r="D60" s="26"/>
      <c r="E60" s="26"/>
      <c r="F60" s="26"/>
      <c r="L60" s="26">
        <v>57</v>
      </c>
      <c r="M60" t="s">
        <v>263</v>
      </c>
      <c r="N60" s="1" t="str">
        <f t="shared" si="0"/>
        <v/>
      </c>
      <c r="O60" s="31"/>
      <c r="P60" s="34" t="str">
        <f t="shared" si="1"/>
        <v/>
      </c>
      <c r="R60" t="s">
        <v>263</v>
      </c>
      <c r="S60" s="1" t="str">
        <f t="shared" si="5"/>
        <v/>
      </c>
      <c r="T60" s="1"/>
      <c r="U60" s="35" t="str">
        <f t="shared" si="2"/>
        <v/>
      </c>
    </row>
    <row r="61" spans="1:21" x14ac:dyDescent="0.25">
      <c r="A61" s="26"/>
      <c r="B61" s="26"/>
      <c r="C61" s="26"/>
      <c r="D61" s="26"/>
      <c r="E61" s="26"/>
      <c r="F61" s="26"/>
      <c r="L61" s="26">
        <v>58</v>
      </c>
      <c r="M61" t="s">
        <v>262</v>
      </c>
      <c r="N61" s="1" t="str">
        <f t="shared" si="0"/>
        <v/>
      </c>
      <c r="O61" s="31"/>
      <c r="P61" s="34" t="str">
        <f t="shared" si="1"/>
        <v/>
      </c>
      <c r="R61" t="s">
        <v>262</v>
      </c>
      <c r="S61" s="1" t="str">
        <f t="shared" si="5"/>
        <v/>
      </c>
      <c r="T61" s="1"/>
      <c r="U61" s="35" t="str">
        <f t="shared" si="2"/>
        <v/>
      </c>
    </row>
    <row r="62" spans="1:21" x14ac:dyDescent="0.25">
      <c r="A62" s="26"/>
      <c r="B62" s="26"/>
      <c r="C62" s="26"/>
      <c r="D62" s="26"/>
      <c r="E62" s="26"/>
      <c r="F62" s="26"/>
      <c r="L62" s="26">
        <v>59</v>
      </c>
      <c r="M62" t="s">
        <v>261</v>
      </c>
      <c r="N62" s="1" t="str">
        <f t="shared" si="0"/>
        <v/>
      </c>
      <c r="O62" s="31"/>
      <c r="P62" s="34" t="str">
        <f t="shared" si="1"/>
        <v/>
      </c>
      <c r="R62" t="s">
        <v>261</v>
      </c>
      <c r="S62" s="1" t="str">
        <f t="shared" si="5"/>
        <v/>
      </c>
      <c r="T62" s="1"/>
      <c r="U62" s="35" t="str">
        <f t="shared" si="2"/>
        <v/>
      </c>
    </row>
    <row r="63" spans="1:21" x14ac:dyDescent="0.25">
      <c r="A63" s="26"/>
      <c r="B63" s="26"/>
      <c r="C63" s="26"/>
      <c r="D63" s="26"/>
      <c r="E63" s="26"/>
      <c r="F63" s="26"/>
      <c r="L63" s="26">
        <v>60</v>
      </c>
      <c r="M63" t="s">
        <v>260</v>
      </c>
      <c r="N63" s="1" t="str">
        <f t="shared" si="0"/>
        <v/>
      </c>
      <c r="O63" s="31"/>
      <c r="P63" s="34" t="str">
        <f t="shared" si="1"/>
        <v/>
      </c>
      <c r="R63" t="s">
        <v>260</v>
      </c>
      <c r="S63" s="1" t="str">
        <f t="shared" si="5"/>
        <v/>
      </c>
      <c r="T63" s="1"/>
      <c r="U63" s="35" t="str">
        <f t="shared" si="2"/>
        <v/>
      </c>
    </row>
    <row r="64" spans="1:21" x14ac:dyDescent="0.25">
      <c r="A64" s="26"/>
      <c r="B64" s="26"/>
      <c r="C64" s="26"/>
      <c r="D64" s="26"/>
      <c r="E64" s="26"/>
      <c r="F64" s="26"/>
      <c r="L64" s="26">
        <v>61</v>
      </c>
      <c r="M64" t="s">
        <v>259</v>
      </c>
      <c r="N64" s="1" t="str">
        <f t="shared" si="0"/>
        <v/>
      </c>
      <c r="O64" s="31"/>
      <c r="P64" s="34" t="str">
        <f t="shared" si="1"/>
        <v/>
      </c>
      <c r="R64" t="s">
        <v>259</v>
      </c>
      <c r="S64" s="1" t="str">
        <f t="shared" si="5"/>
        <v/>
      </c>
      <c r="T64" s="1"/>
      <c r="U64" s="35" t="str">
        <f t="shared" si="2"/>
        <v/>
      </c>
    </row>
    <row r="65" spans="1:21" x14ac:dyDescent="0.25">
      <c r="A65" s="26"/>
      <c r="B65" s="26"/>
      <c r="C65" s="26"/>
      <c r="D65" s="26"/>
      <c r="E65" s="26"/>
      <c r="F65" s="26"/>
      <c r="L65" s="26">
        <v>62</v>
      </c>
      <c r="M65" t="s">
        <v>258</v>
      </c>
      <c r="N65" s="1" t="str">
        <f t="shared" si="0"/>
        <v/>
      </c>
      <c r="O65" s="31"/>
      <c r="P65" s="34" t="str">
        <f t="shared" si="1"/>
        <v/>
      </c>
      <c r="R65" t="s">
        <v>258</v>
      </c>
      <c r="S65" s="1" t="str">
        <f t="shared" si="5"/>
        <v/>
      </c>
      <c r="T65" s="1"/>
      <c r="U65" s="35" t="str">
        <f t="shared" si="2"/>
        <v/>
      </c>
    </row>
    <row r="66" spans="1:21" x14ac:dyDescent="0.25">
      <c r="A66" s="26"/>
      <c r="B66" s="26"/>
      <c r="C66" s="26"/>
      <c r="D66" s="26"/>
      <c r="E66" s="26"/>
      <c r="F66" s="26"/>
      <c r="L66" s="26">
        <v>63</v>
      </c>
      <c r="M66" t="s">
        <v>257</v>
      </c>
      <c r="N66" s="1" t="str">
        <f t="shared" si="0"/>
        <v/>
      </c>
      <c r="O66" s="31"/>
      <c r="P66" s="34" t="str">
        <f t="shared" si="1"/>
        <v/>
      </c>
      <c r="R66" t="s">
        <v>257</v>
      </c>
      <c r="S66" s="1" t="str">
        <f t="shared" si="5"/>
        <v/>
      </c>
      <c r="T66" s="1"/>
      <c r="U66" s="35" t="str">
        <f t="shared" si="2"/>
        <v/>
      </c>
    </row>
    <row r="67" spans="1:21" x14ac:dyDescent="0.25">
      <c r="A67" s="26"/>
      <c r="B67" s="26"/>
      <c r="C67" s="26"/>
      <c r="D67" s="26"/>
      <c r="E67" s="26"/>
      <c r="F67" s="26"/>
      <c r="L67" s="26">
        <v>64</v>
      </c>
      <c r="M67" t="s">
        <v>256</v>
      </c>
      <c r="N67" s="1" t="str">
        <f t="shared" si="0"/>
        <v/>
      </c>
      <c r="O67" s="31"/>
      <c r="P67" s="34" t="str">
        <f t="shared" si="1"/>
        <v/>
      </c>
      <c r="R67" t="s">
        <v>256</v>
      </c>
      <c r="S67" s="1" t="str">
        <f t="shared" si="5"/>
        <v/>
      </c>
      <c r="T67" s="1"/>
      <c r="U67" s="35" t="str">
        <f t="shared" si="2"/>
        <v/>
      </c>
    </row>
    <row r="68" spans="1:21" x14ac:dyDescent="0.25">
      <c r="A68" s="26"/>
      <c r="B68" s="26"/>
      <c r="C68" s="26"/>
      <c r="D68" s="26"/>
      <c r="E68" s="26"/>
      <c r="F68" s="26"/>
      <c r="L68" s="26">
        <v>65</v>
      </c>
      <c r="M68" t="s">
        <v>255</v>
      </c>
      <c r="N68" s="1" t="str">
        <f t="shared" si="0"/>
        <v/>
      </c>
      <c r="O68" s="31"/>
      <c r="P68" s="34" t="str">
        <f t="shared" si="1"/>
        <v/>
      </c>
      <c r="R68" t="s">
        <v>255</v>
      </c>
      <c r="S68" s="1" t="str">
        <f t="shared" si="5"/>
        <v/>
      </c>
      <c r="T68" s="1"/>
      <c r="U68" s="35" t="str">
        <f t="shared" si="2"/>
        <v/>
      </c>
    </row>
    <row r="69" spans="1:21" x14ac:dyDescent="0.25">
      <c r="A69" s="26"/>
      <c r="B69" s="26"/>
      <c r="C69" s="26"/>
      <c r="D69" s="26"/>
      <c r="E69" s="26"/>
      <c r="F69" s="26"/>
      <c r="L69" s="26">
        <v>66</v>
      </c>
      <c r="M69" t="s">
        <v>254</v>
      </c>
      <c r="N69" s="1" t="str">
        <f t="shared" ref="N69:N132" si="6">IF(L69&gt;$I$2,"",F69/$D$3-1)</f>
        <v/>
      </c>
      <c r="O69" s="31"/>
      <c r="P69" s="34" t="str">
        <f t="shared" ref="P69:P132" si="7">IF(AND(L69&lt;=$I$2,N69&lt;= -0.1),1,"")</f>
        <v/>
      </c>
      <c r="R69" t="s">
        <v>254</v>
      </c>
      <c r="S69" s="1" t="str">
        <f t="shared" si="5"/>
        <v/>
      </c>
      <c r="T69" s="1"/>
      <c r="U69" s="35" t="str">
        <f t="shared" ref="U69:U132" si="8">IF(AND(L69&lt;=$I$2,S69&gt;=0.2),1,"")</f>
        <v/>
      </c>
    </row>
    <row r="70" spans="1:21" x14ac:dyDescent="0.25">
      <c r="A70" s="26"/>
      <c r="B70" s="26"/>
      <c r="C70" s="26"/>
      <c r="D70" s="26"/>
      <c r="E70" s="26"/>
      <c r="F70" s="26"/>
      <c r="L70" s="26">
        <v>67</v>
      </c>
      <c r="M70" t="s">
        <v>253</v>
      </c>
      <c r="N70" s="1" t="str">
        <f t="shared" si="6"/>
        <v/>
      </c>
      <c r="O70" s="31"/>
      <c r="P70" s="34" t="str">
        <f t="shared" si="7"/>
        <v/>
      </c>
      <c r="R70" t="s">
        <v>253</v>
      </c>
      <c r="S70" s="1" t="str">
        <f t="shared" si="5"/>
        <v/>
      </c>
      <c r="T70" s="1"/>
      <c r="U70" s="35" t="str">
        <f t="shared" si="8"/>
        <v/>
      </c>
    </row>
    <row r="71" spans="1:21" x14ac:dyDescent="0.25">
      <c r="A71" s="26"/>
      <c r="B71" s="26"/>
      <c r="C71" s="26"/>
      <c r="D71" s="26"/>
      <c r="E71" s="26"/>
      <c r="F71" s="26"/>
      <c r="L71" s="26">
        <v>68</v>
      </c>
      <c r="M71" t="s">
        <v>252</v>
      </c>
      <c r="N71" s="1" t="str">
        <f t="shared" si="6"/>
        <v/>
      </c>
      <c r="O71" s="31"/>
      <c r="P71" s="34" t="str">
        <f t="shared" si="7"/>
        <v/>
      </c>
      <c r="R71" t="s">
        <v>252</v>
      </c>
      <c r="S71" s="1" t="str">
        <f t="shared" si="5"/>
        <v/>
      </c>
      <c r="T71" s="1"/>
      <c r="U71" s="35" t="str">
        <f t="shared" si="8"/>
        <v/>
      </c>
    </row>
    <row r="72" spans="1:21" x14ac:dyDescent="0.25">
      <c r="A72" s="26"/>
      <c r="B72" s="26"/>
      <c r="C72" s="26"/>
      <c r="D72" s="26"/>
      <c r="E72" s="26"/>
      <c r="F72" s="26"/>
      <c r="L72" s="26">
        <v>69</v>
      </c>
      <c r="M72" t="s">
        <v>251</v>
      </c>
      <c r="N72" s="1" t="str">
        <f t="shared" si="6"/>
        <v/>
      </c>
      <c r="O72" s="31"/>
      <c r="P72" s="34" t="str">
        <f t="shared" si="7"/>
        <v/>
      </c>
      <c r="R72" t="s">
        <v>251</v>
      </c>
      <c r="S72" s="1" t="str">
        <f t="shared" si="5"/>
        <v/>
      </c>
      <c r="T72" s="1"/>
      <c r="U72" s="35" t="str">
        <f t="shared" si="8"/>
        <v/>
      </c>
    </row>
    <row r="73" spans="1:21" x14ac:dyDescent="0.25">
      <c r="A73" s="26"/>
      <c r="B73" s="26"/>
      <c r="C73" s="26"/>
      <c r="D73" s="26"/>
      <c r="E73" s="26"/>
      <c r="F73" s="26"/>
      <c r="L73" s="26">
        <v>70</v>
      </c>
      <c r="M73" t="s">
        <v>250</v>
      </c>
      <c r="N73" s="1" t="str">
        <f t="shared" si="6"/>
        <v/>
      </c>
      <c r="O73" s="31"/>
      <c r="P73" s="34" t="str">
        <f t="shared" si="7"/>
        <v/>
      </c>
      <c r="R73" t="s">
        <v>250</v>
      </c>
      <c r="S73" s="1" t="str">
        <f t="shared" si="5"/>
        <v/>
      </c>
      <c r="T73" s="1"/>
      <c r="U73" s="35" t="str">
        <f t="shared" si="8"/>
        <v/>
      </c>
    </row>
    <row r="74" spans="1:21" x14ac:dyDescent="0.25">
      <c r="A74" s="26"/>
      <c r="B74" s="26"/>
      <c r="C74" s="26"/>
      <c r="D74" s="26"/>
      <c r="E74" s="26"/>
      <c r="F74" s="26"/>
      <c r="L74" s="26">
        <v>71</v>
      </c>
      <c r="M74" t="s">
        <v>249</v>
      </c>
      <c r="N74" s="1" t="str">
        <f t="shared" si="6"/>
        <v/>
      </c>
      <c r="O74" s="31"/>
      <c r="P74" s="34" t="str">
        <f t="shared" si="7"/>
        <v/>
      </c>
      <c r="R74" t="s">
        <v>249</v>
      </c>
      <c r="S74" s="1" t="str">
        <f t="shared" si="5"/>
        <v/>
      </c>
      <c r="T74" s="1"/>
      <c r="U74" s="35" t="str">
        <f t="shared" si="8"/>
        <v/>
      </c>
    </row>
    <row r="75" spans="1:21" x14ac:dyDescent="0.25">
      <c r="A75" s="26"/>
      <c r="B75" s="26"/>
      <c r="C75" s="26"/>
      <c r="D75" s="26"/>
      <c r="E75" s="26"/>
      <c r="F75" s="26"/>
      <c r="L75" s="26">
        <v>72</v>
      </c>
      <c r="M75" t="s">
        <v>248</v>
      </c>
      <c r="N75" s="1" t="str">
        <f t="shared" si="6"/>
        <v/>
      </c>
      <c r="O75" s="31"/>
      <c r="P75" s="34" t="str">
        <f t="shared" si="7"/>
        <v/>
      </c>
      <c r="R75" t="s">
        <v>248</v>
      </c>
      <c r="S75" s="1" t="str">
        <f t="shared" si="5"/>
        <v/>
      </c>
      <c r="T75" s="1"/>
      <c r="U75" s="35" t="str">
        <f t="shared" si="8"/>
        <v/>
      </c>
    </row>
    <row r="76" spans="1:21" x14ac:dyDescent="0.25">
      <c r="A76" s="26"/>
      <c r="B76" s="26"/>
      <c r="C76" s="26"/>
      <c r="D76" s="26"/>
      <c r="E76" s="26"/>
      <c r="F76" s="26"/>
      <c r="L76" s="26">
        <v>73</v>
      </c>
      <c r="M76" t="s">
        <v>247</v>
      </c>
      <c r="N76" s="1" t="str">
        <f t="shared" si="6"/>
        <v/>
      </c>
      <c r="O76" s="31"/>
      <c r="P76" s="34" t="str">
        <f t="shared" si="7"/>
        <v/>
      </c>
      <c r="R76" t="s">
        <v>247</v>
      </c>
      <c r="S76" s="1" t="str">
        <f t="shared" si="5"/>
        <v/>
      </c>
      <c r="T76" s="1"/>
      <c r="U76" s="35" t="str">
        <f t="shared" si="8"/>
        <v/>
      </c>
    </row>
    <row r="77" spans="1:21" x14ac:dyDescent="0.25">
      <c r="A77" s="26"/>
      <c r="B77" s="26"/>
      <c r="C77" s="26"/>
      <c r="D77" s="26"/>
      <c r="E77" s="26"/>
      <c r="F77" s="26"/>
      <c r="L77" s="26">
        <v>74</v>
      </c>
      <c r="M77" t="s">
        <v>246</v>
      </c>
      <c r="N77" s="1" t="str">
        <f t="shared" si="6"/>
        <v/>
      </c>
      <c r="O77" s="31"/>
      <c r="P77" s="34" t="str">
        <f t="shared" si="7"/>
        <v/>
      </c>
      <c r="R77" t="s">
        <v>246</v>
      </c>
      <c r="S77" s="1" t="str">
        <f t="shared" si="5"/>
        <v/>
      </c>
      <c r="T77" s="1"/>
      <c r="U77" s="35" t="str">
        <f t="shared" si="8"/>
        <v/>
      </c>
    </row>
    <row r="78" spans="1:21" x14ac:dyDescent="0.25">
      <c r="A78" s="26"/>
      <c r="B78" s="26"/>
      <c r="C78" s="26"/>
      <c r="D78" s="26"/>
      <c r="E78" s="26"/>
      <c r="F78" s="26"/>
      <c r="L78" s="26">
        <v>75</v>
      </c>
      <c r="M78" t="s">
        <v>245</v>
      </c>
      <c r="N78" s="1" t="str">
        <f t="shared" si="6"/>
        <v/>
      </c>
      <c r="O78" s="31"/>
      <c r="P78" s="34" t="str">
        <f t="shared" si="7"/>
        <v/>
      </c>
      <c r="R78" t="s">
        <v>245</v>
      </c>
      <c r="S78" s="1" t="str">
        <f t="shared" si="5"/>
        <v/>
      </c>
      <c r="T78" s="1"/>
      <c r="U78" s="35" t="str">
        <f t="shared" si="8"/>
        <v/>
      </c>
    </row>
    <row r="79" spans="1:21" x14ac:dyDescent="0.25">
      <c r="A79" s="26"/>
      <c r="B79" s="26"/>
      <c r="C79" s="26"/>
      <c r="D79" s="26"/>
      <c r="E79" s="26"/>
      <c r="F79" s="26"/>
      <c r="L79" s="26">
        <v>76</v>
      </c>
      <c r="M79" t="s">
        <v>244</v>
      </c>
      <c r="N79" s="1" t="str">
        <f t="shared" si="6"/>
        <v/>
      </c>
      <c r="O79" s="31"/>
      <c r="P79" s="34" t="str">
        <f t="shared" si="7"/>
        <v/>
      </c>
      <c r="R79" t="s">
        <v>244</v>
      </c>
      <c r="S79" s="1" t="str">
        <f t="shared" si="5"/>
        <v/>
      </c>
      <c r="T79" s="1"/>
      <c r="U79" s="35" t="str">
        <f t="shared" si="8"/>
        <v/>
      </c>
    </row>
    <row r="80" spans="1:21" x14ac:dyDescent="0.25">
      <c r="A80" s="26"/>
      <c r="B80" s="26"/>
      <c r="C80" s="26"/>
      <c r="D80" s="26"/>
      <c r="E80" s="26"/>
      <c r="F80" s="26"/>
      <c r="L80" s="26">
        <v>77</v>
      </c>
      <c r="M80" t="s">
        <v>243</v>
      </c>
      <c r="N80" s="1" t="str">
        <f t="shared" si="6"/>
        <v/>
      </c>
      <c r="O80" s="31"/>
      <c r="P80" s="34" t="str">
        <f t="shared" si="7"/>
        <v/>
      </c>
      <c r="R80" t="s">
        <v>243</v>
      </c>
      <c r="S80" s="1" t="str">
        <f t="shared" si="5"/>
        <v/>
      </c>
      <c r="T80" s="1"/>
      <c r="U80" s="35" t="str">
        <f t="shared" si="8"/>
        <v/>
      </c>
    </row>
    <row r="81" spans="1:21" x14ac:dyDescent="0.25">
      <c r="A81" s="26"/>
      <c r="B81" s="26"/>
      <c r="C81" s="26"/>
      <c r="D81" s="26"/>
      <c r="E81" s="26"/>
      <c r="F81" s="26"/>
      <c r="L81" s="26">
        <v>78</v>
      </c>
      <c r="M81" t="s">
        <v>242</v>
      </c>
      <c r="N81" s="1" t="str">
        <f t="shared" si="6"/>
        <v/>
      </c>
      <c r="O81" s="31"/>
      <c r="P81" s="34" t="str">
        <f t="shared" si="7"/>
        <v/>
      </c>
      <c r="R81" t="s">
        <v>242</v>
      </c>
      <c r="S81" s="1" t="str">
        <f t="shared" si="5"/>
        <v/>
      </c>
      <c r="T81" s="1"/>
      <c r="U81" s="35" t="str">
        <f t="shared" si="8"/>
        <v/>
      </c>
    </row>
    <row r="82" spans="1:21" x14ac:dyDescent="0.25">
      <c r="A82" s="26"/>
      <c r="B82" s="26"/>
      <c r="C82" s="26"/>
      <c r="D82" s="26"/>
      <c r="E82" s="26"/>
      <c r="F82" s="26"/>
      <c r="L82" s="26">
        <v>79</v>
      </c>
      <c r="M82" t="s">
        <v>241</v>
      </c>
      <c r="N82" s="1" t="str">
        <f t="shared" si="6"/>
        <v/>
      </c>
      <c r="O82" s="31"/>
      <c r="P82" s="34" t="str">
        <f t="shared" si="7"/>
        <v/>
      </c>
      <c r="R82" t="s">
        <v>241</v>
      </c>
      <c r="S82" s="1" t="str">
        <f t="shared" si="5"/>
        <v/>
      </c>
      <c r="T82" s="1"/>
      <c r="U82" s="35" t="str">
        <f t="shared" si="8"/>
        <v/>
      </c>
    </row>
    <row r="83" spans="1:21" x14ac:dyDescent="0.25">
      <c r="A83" s="26"/>
      <c r="B83" s="26"/>
      <c r="C83" s="26"/>
      <c r="D83" s="26"/>
      <c r="E83" s="26"/>
      <c r="F83" s="26"/>
      <c r="L83" s="26">
        <v>80</v>
      </c>
      <c r="M83" t="s">
        <v>240</v>
      </c>
      <c r="N83" s="1" t="str">
        <f t="shared" si="6"/>
        <v/>
      </c>
      <c r="O83" s="31"/>
      <c r="P83" s="34" t="str">
        <f t="shared" si="7"/>
        <v/>
      </c>
      <c r="R83" t="s">
        <v>240</v>
      </c>
      <c r="S83" s="1" t="str">
        <f t="shared" si="5"/>
        <v/>
      </c>
      <c r="T83" s="1"/>
      <c r="U83" s="35" t="str">
        <f t="shared" si="8"/>
        <v/>
      </c>
    </row>
    <row r="84" spans="1:21" x14ac:dyDescent="0.25">
      <c r="A84" s="26"/>
      <c r="B84" s="26"/>
      <c r="C84" s="26"/>
      <c r="D84" s="26"/>
      <c r="E84" s="26"/>
      <c r="F84" s="26"/>
      <c r="L84" s="26">
        <v>81</v>
      </c>
      <c r="M84" t="s">
        <v>239</v>
      </c>
      <c r="N84" s="1" t="str">
        <f t="shared" si="6"/>
        <v/>
      </c>
      <c r="O84" s="31"/>
      <c r="P84" s="34" t="str">
        <f t="shared" si="7"/>
        <v/>
      </c>
      <c r="R84" t="s">
        <v>239</v>
      </c>
      <c r="S84" s="1" t="str">
        <f t="shared" si="5"/>
        <v/>
      </c>
      <c r="T84" s="1"/>
      <c r="U84" s="35" t="str">
        <f t="shared" si="8"/>
        <v/>
      </c>
    </row>
    <row r="85" spans="1:21" x14ac:dyDescent="0.25">
      <c r="A85" s="26"/>
      <c r="B85" s="26"/>
      <c r="C85" s="26"/>
      <c r="D85" s="26"/>
      <c r="E85" s="26"/>
      <c r="F85" s="26"/>
      <c r="L85" s="26">
        <v>82</v>
      </c>
      <c r="M85" t="s">
        <v>238</v>
      </c>
      <c r="N85" s="1" t="str">
        <f t="shared" si="6"/>
        <v/>
      </c>
      <c r="O85" s="31"/>
      <c r="P85" s="34" t="str">
        <f t="shared" si="7"/>
        <v/>
      </c>
      <c r="R85" t="s">
        <v>238</v>
      </c>
      <c r="S85" s="1" t="str">
        <f t="shared" si="5"/>
        <v/>
      </c>
      <c r="T85" s="1"/>
      <c r="U85" s="35" t="str">
        <f t="shared" si="8"/>
        <v/>
      </c>
    </row>
    <row r="86" spans="1:21" x14ac:dyDescent="0.25">
      <c r="A86" s="26"/>
      <c r="B86" s="26"/>
      <c r="C86" s="26"/>
      <c r="D86" s="26"/>
      <c r="E86" s="26"/>
      <c r="F86" s="26"/>
      <c r="L86" s="26">
        <v>83</v>
      </c>
      <c r="M86" t="s">
        <v>237</v>
      </c>
      <c r="N86" s="1" t="str">
        <f t="shared" si="6"/>
        <v/>
      </c>
      <c r="O86" s="31"/>
      <c r="P86" s="34" t="str">
        <f t="shared" si="7"/>
        <v/>
      </c>
      <c r="R86" t="s">
        <v>237</v>
      </c>
      <c r="S86" s="1" t="str">
        <f t="shared" si="5"/>
        <v/>
      </c>
      <c r="T86" s="1"/>
      <c r="U86" s="35" t="str">
        <f t="shared" si="8"/>
        <v/>
      </c>
    </row>
    <row r="87" spans="1:21" x14ac:dyDescent="0.25">
      <c r="A87" s="26"/>
      <c r="B87" s="26"/>
      <c r="C87" s="26"/>
      <c r="D87" s="26"/>
      <c r="E87" s="26"/>
      <c r="F87" s="26"/>
      <c r="L87" s="26">
        <v>84</v>
      </c>
      <c r="M87" t="s">
        <v>236</v>
      </c>
      <c r="N87" s="1" t="str">
        <f t="shared" si="6"/>
        <v/>
      </c>
      <c r="O87" s="31"/>
      <c r="P87" s="34" t="str">
        <f t="shared" si="7"/>
        <v/>
      </c>
      <c r="R87" t="s">
        <v>236</v>
      </c>
      <c r="S87" s="1" t="str">
        <f t="shared" si="5"/>
        <v/>
      </c>
      <c r="T87" s="1"/>
      <c r="U87" s="35" t="str">
        <f t="shared" si="8"/>
        <v/>
      </c>
    </row>
    <row r="88" spans="1:21" x14ac:dyDescent="0.25">
      <c r="A88" s="26"/>
      <c r="B88" s="26"/>
      <c r="C88" s="26"/>
      <c r="D88" s="26"/>
      <c r="E88" s="26"/>
      <c r="F88" s="26"/>
      <c r="L88" s="26">
        <v>85</v>
      </c>
      <c r="M88" t="s">
        <v>235</v>
      </c>
      <c r="N88" s="1" t="str">
        <f t="shared" si="6"/>
        <v/>
      </c>
      <c r="O88" s="31"/>
      <c r="P88" s="34" t="str">
        <f t="shared" si="7"/>
        <v/>
      </c>
      <c r="R88" t="s">
        <v>235</v>
      </c>
      <c r="S88" s="1" t="str">
        <f t="shared" ref="S88:S151" si="9">IF(L88&gt;$I$2,"",E88/$D$3-1)</f>
        <v/>
      </c>
      <c r="T88" s="1"/>
      <c r="U88" s="35" t="str">
        <f t="shared" si="8"/>
        <v/>
      </c>
    </row>
    <row r="89" spans="1:21" x14ac:dyDescent="0.25">
      <c r="A89" s="26"/>
      <c r="B89" s="26"/>
      <c r="C89" s="26"/>
      <c r="D89" s="26"/>
      <c r="E89" s="26"/>
      <c r="F89" s="26"/>
      <c r="L89" s="26">
        <v>86</v>
      </c>
      <c r="M89" t="s">
        <v>234</v>
      </c>
      <c r="N89" s="1" t="str">
        <f t="shared" si="6"/>
        <v/>
      </c>
      <c r="O89" s="31"/>
      <c r="P89" s="34" t="str">
        <f t="shared" si="7"/>
        <v/>
      </c>
      <c r="R89" t="s">
        <v>234</v>
      </c>
      <c r="S89" s="1" t="str">
        <f t="shared" si="9"/>
        <v/>
      </c>
      <c r="T89" s="1"/>
      <c r="U89" s="35" t="str">
        <f t="shared" si="8"/>
        <v/>
      </c>
    </row>
    <row r="90" spans="1:21" x14ac:dyDescent="0.25">
      <c r="A90" s="26"/>
      <c r="B90" s="26"/>
      <c r="C90" s="26"/>
      <c r="D90" s="26"/>
      <c r="E90" s="26"/>
      <c r="F90" s="26"/>
      <c r="L90" s="26">
        <v>87</v>
      </c>
      <c r="M90" t="s">
        <v>233</v>
      </c>
      <c r="N90" s="1" t="str">
        <f t="shared" si="6"/>
        <v/>
      </c>
      <c r="O90" s="31"/>
      <c r="P90" s="34" t="str">
        <f t="shared" si="7"/>
        <v/>
      </c>
      <c r="R90" t="s">
        <v>233</v>
      </c>
      <c r="S90" s="1" t="str">
        <f t="shared" si="9"/>
        <v/>
      </c>
      <c r="T90" s="1"/>
      <c r="U90" s="35" t="str">
        <f t="shared" si="8"/>
        <v/>
      </c>
    </row>
    <row r="91" spans="1:21" x14ac:dyDescent="0.25">
      <c r="A91" s="26"/>
      <c r="B91" s="26"/>
      <c r="C91" s="26"/>
      <c r="D91" s="26"/>
      <c r="E91" s="26"/>
      <c r="F91" s="26"/>
      <c r="L91" s="26">
        <v>88</v>
      </c>
      <c r="M91" t="s">
        <v>232</v>
      </c>
      <c r="N91" s="1" t="str">
        <f t="shared" si="6"/>
        <v/>
      </c>
      <c r="O91" s="31"/>
      <c r="P91" s="34" t="str">
        <f t="shared" si="7"/>
        <v/>
      </c>
      <c r="R91" t="s">
        <v>232</v>
      </c>
      <c r="S91" s="1" t="str">
        <f t="shared" si="9"/>
        <v/>
      </c>
      <c r="T91" s="1"/>
      <c r="U91" s="35" t="str">
        <f t="shared" si="8"/>
        <v/>
      </c>
    </row>
    <row r="92" spans="1:21" x14ac:dyDescent="0.25">
      <c r="A92" s="26"/>
      <c r="B92" s="26"/>
      <c r="C92" s="26"/>
      <c r="D92" s="26"/>
      <c r="E92" s="26"/>
      <c r="F92" s="26"/>
      <c r="L92" s="26">
        <v>89</v>
      </c>
      <c r="M92" t="s">
        <v>231</v>
      </c>
      <c r="N92" s="1" t="str">
        <f t="shared" si="6"/>
        <v/>
      </c>
      <c r="O92" s="31"/>
      <c r="P92" s="34" t="str">
        <f t="shared" si="7"/>
        <v/>
      </c>
      <c r="R92" t="s">
        <v>231</v>
      </c>
      <c r="S92" s="1" t="str">
        <f t="shared" si="9"/>
        <v/>
      </c>
      <c r="T92" s="1"/>
      <c r="U92" s="35" t="str">
        <f t="shared" si="8"/>
        <v/>
      </c>
    </row>
    <row r="93" spans="1:21" x14ac:dyDescent="0.25">
      <c r="A93" s="26"/>
      <c r="B93" s="26"/>
      <c r="C93" s="26"/>
      <c r="D93" s="26"/>
      <c r="E93" s="26"/>
      <c r="F93" s="26"/>
      <c r="L93" s="26">
        <v>90</v>
      </c>
      <c r="M93" t="s">
        <v>230</v>
      </c>
      <c r="N93" s="1" t="str">
        <f t="shared" si="6"/>
        <v/>
      </c>
      <c r="O93" s="31"/>
      <c r="P93" s="34" t="str">
        <f t="shared" si="7"/>
        <v/>
      </c>
      <c r="R93" t="s">
        <v>230</v>
      </c>
      <c r="S93" s="1" t="str">
        <f t="shared" si="9"/>
        <v/>
      </c>
      <c r="T93" s="1"/>
      <c r="U93" s="35" t="str">
        <f t="shared" si="8"/>
        <v/>
      </c>
    </row>
    <row r="94" spans="1:21" x14ac:dyDescent="0.25">
      <c r="A94" s="26"/>
      <c r="B94" s="26"/>
      <c r="C94" s="26"/>
      <c r="D94" s="26"/>
      <c r="E94" s="26"/>
      <c r="F94" s="26"/>
      <c r="L94" s="26">
        <v>91</v>
      </c>
      <c r="M94" t="s">
        <v>229</v>
      </c>
      <c r="N94" s="1" t="str">
        <f t="shared" si="6"/>
        <v/>
      </c>
      <c r="O94" s="31"/>
      <c r="P94" s="34" t="str">
        <f t="shared" si="7"/>
        <v/>
      </c>
      <c r="R94" t="s">
        <v>229</v>
      </c>
      <c r="S94" s="1" t="str">
        <f t="shared" si="9"/>
        <v/>
      </c>
      <c r="T94" s="1"/>
      <c r="U94" s="35" t="str">
        <f t="shared" si="8"/>
        <v/>
      </c>
    </row>
    <row r="95" spans="1:21" x14ac:dyDescent="0.25">
      <c r="A95" s="26"/>
      <c r="B95" s="26"/>
      <c r="C95" s="26"/>
      <c r="D95" s="26"/>
      <c r="E95" s="26"/>
      <c r="F95" s="26"/>
      <c r="L95" s="26">
        <v>92</v>
      </c>
      <c r="M95" t="s">
        <v>228</v>
      </c>
      <c r="N95" s="1" t="str">
        <f t="shared" si="6"/>
        <v/>
      </c>
      <c r="O95" s="31"/>
      <c r="P95" s="34" t="str">
        <f t="shared" si="7"/>
        <v/>
      </c>
      <c r="R95" t="s">
        <v>228</v>
      </c>
      <c r="S95" s="1" t="str">
        <f t="shared" si="9"/>
        <v/>
      </c>
      <c r="T95" s="1"/>
      <c r="U95" s="35" t="str">
        <f t="shared" si="8"/>
        <v/>
      </c>
    </row>
    <row r="96" spans="1:21" x14ac:dyDescent="0.25">
      <c r="L96" s="26">
        <v>93</v>
      </c>
      <c r="M96" t="s">
        <v>227</v>
      </c>
      <c r="N96" s="1" t="str">
        <f t="shared" si="6"/>
        <v/>
      </c>
      <c r="O96" s="31"/>
      <c r="P96" s="34" t="str">
        <f t="shared" si="7"/>
        <v/>
      </c>
      <c r="R96" t="s">
        <v>227</v>
      </c>
      <c r="S96" s="1" t="str">
        <f t="shared" si="9"/>
        <v/>
      </c>
      <c r="T96" s="1"/>
      <c r="U96" s="35" t="str">
        <f t="shared" si="8"/>
        <v/>
      </c>
    </row>
    <row r="97" spans="12:21" x14ac:dyDescent="0.25">
      <c r="L97" s="26">
        <v>94</v>
      </c>
      <c r="M97" t="s">
        <v>226</v>
      </c>
      <c r="N97" s="1" t="str">
        <f t="shared" si="6"/>
        <v/>
      </c>
      <c r="O97" s="31"/>
      <c r="P97" s="34" t="str">
        <f t="shared" si="7"/>
        <v/>
      </c>
      <c r="R97" t="s">
        <v>226</v>
      </c>
      <c r="S97" s="1" t="str">
        <f t="shared" si="9"/>
        <v/>
      </c>
      <c r="T97" s="1"/>
      <c r="U97" s="35" t="str">
        <f t="shared" si="8"/>
        <v/>
      </c>
    </row>
    <row r="98" spans="12:21" x14ac:dyDescent="0.25">
      <c r="L98" s="26">
        <v>95</v>
      </c>
      <c r="M98" t="s">
        <v>225</v>
      </c>
      <c r="N98" s="1" t="str">
        <f t="shared" si="6"/>
        <v/>
      </c>
      <c r="O98" s="31"/>
      <c r="P98" s="34" t="str">
        <f t="shared" si="7"/>
        <v/>
      </c>
      <c r="R98" t="s">
        <v>225</v>
      </c>
      <c r="S98" s="1" t="str">
        <f t="shared" si="9"/>
        <v/>
      </c>
      <c r="T98" s="1"/>
      <c r="U98" s="35" t="str">
        <f t="shared" si="8"/>
        <v/>
      </c>
    </row>
    <row r="99" spans="12:21" x14ac:dyDescent="0.25">
      <c r="L99" s="26">
        <v>96</v>
      </c>
      <c r="M99" t="s">
        <v>224</v>
      </c>
      <c r="N99" s="1" t="str">
        <f t="shared" si="6"/>
        <v/>
      </c>
      <c r="O99" s="31"/>
      <c r="P99" s="34" t="str">
        <f t="shared" si="7"/>
        <v/>
      </c>
      <c r="R99" t="s">
        <v>224</v>
      </c>
      <c r="S99" s="1" t="str">
        <f t="shared" si="9"/>
        <v/>
      </c>
      <c r="T99" s="1"/>
      <c r="U99" s="35" t="str">
        <f t="shared" si="8"/>
        <v/>
      </c>
    </row>
    <row r="100" spans="12:21" x14ac:dyDescent="0.25">
      <c r="L100" s="26">
        <v>97</v>
      </c>
      <c r="M100" t="s">
        <v>223</v>
      </c>
      <c r="N100" s="1" t="str">
        <f t="shared" si="6"/>
        <v/>
      </c>
      <c r="O100" s="31"/>
      <c r="P100" s="34" t="str">
        <f t="shared" si="7"/>
        <v/>
      </c>
      <c r="R100" t="s">
        <v>223</v>
      </c>
      <c r="S100" s="1" t="str">
        <f t="shared" si="9"/>
        <v/>
      </c>
      <c r="T100" s="1"/>
      <c r="U100" s="35" t="str">
        <f t="shared" si="8"/>
        <v/>
      </c>
    </row>
    <row r="101" spans="12:21" x14ac:dyDescent="0.25">
      <c r="L101" s="26">
        <v>98</v>
      </c>
      <c r="M101" t="s">
        <v>222</v>
      </c>
      <c r="N101" s="1" t="str">
        <f t="shared" si="6"/>
        <v/>
      </c>
      <c r="O101" s="31"/>
      <c r="P101" s="34" t="str">
        <f t="shared" si="7"/>
        <v/>
      </c>
      <c r="R101" t="s">
        <v>222</v>
      </c>
      <c r="S101" s="1" t="str">
        <f t="shared" si="9"/>
        <v/>
      </c>
      <c r="T101" s="1"/>
      <c r="U101" s="35" t="str">
        <f t="shared" si="8"/>
        <v/>
      </c>
    </row>
    <row r="102" spans="12:21" x14ac:dyDescent="0.25">
      <c r="L102" s="26">
        <v>99</v>
      </c>
      <c r="M102" t="s">
        <v>221</v>
      </c>
      <c r="N102" s="1" t="str">
        <f t="shared" si="6"/>
        <v/>
      </c>
      <c r="O102" s="31"/>
      <c r="P102" s="34" t="str">
        <f t="shared" si="7"/>
        <v/>
      </c>
      <c r="R102" t="s">
        <v>221</v>
      </c>
      <c r="S102" s="1" t="str">
        <f t="shared" si="9"/>
        <v/>
      </c>
      <c r="T102" s="1"/>
      <c r="U102" s="35" t="str">
        <f t="shared" si="8"/>
        <v/>
      </c>
    </row>
    <row r="103" spans="12:21" x14ac:dyDescent="0.25">
      <c r="L103" s="26">
        <v>100</v>
      </c>
      <c r="M103" t="s">
        <v>220</v>
      </c>
      <c r="N103" s="1" t="str">
        <f t="shared" si="6"/>
        <v/>
      </c>
      <c r="O103" s="31"/>
      <c r="P103" s="34" t="str">
        <f t="shared" si="7"/>
        <v/>
      </c>
      <c r="R103" t="s">
        <v>220</v>
      </c>
      <c r="S103" s="1" t="str">
        <f t="shared" si="9"/>
        <v/>
      </c>
      <c r="T103" s="1"/>
      <c r="U103" s="35" t="str">
        <f t="shared" si="8"/>
        <v/>
      </c>
    </row>
    <row r="104" spans="12:21" x14ac:dyDescent="0.25">
      <c r="L104" s="26">
        <v>101</v>
      </c>
      <c r="M104" t="s">
        <v>219</v>
      </c>
      <c r="N104" s="1" t="str">
        <f t="shared" si="6"/>
        <v/>
      </c>
      <c r="O104" s="31"/>
      <c r="P104" s="34" t="str">
        <f t="shared" si="7"/>
        <v/>
      </c>
      <c r="R104" t="s">
        <v>219</v>
      </c>
      <c r="S104" s="1" t="str">
        <f t="shared" si="9"/>
        <v/>
      </c>
      <c r="T104" s="1"/>
      <c r="U104" s="35" t="str">
        <f t="shared" si="8"/>
        <v/>
      </c>
    </row>
    <row r="105" spans="12:21" x14ac:dyDescent="0.25">
      <c r="L105" s="26">
        <v>102</v>
      </c>
      <c r="M105" t="s">
        <v>218</v>
      </c>
      <c r="N105" s="1" t="str">
        <f t="shared" si="6"/>
        <v/>
      </c>
      <c r="O105" s="31"/>
      <c r="P105" s="34" t="str">
        <f t="shared" si="7"/>
        <v/>
      </c>
      <c r="R105" t="s">
        <v>218</v>
      </c>
      <c r="S105" s="1" t="str">
        <f t="shared" si="9"/>
        <v/>
      </c>
      <c r="T105" s="1"/>
      <c r="U105" s="35" t="str">
        <f t="shared" si="8"/>
        <v/>
      </c>
    </row>
    <row r="106" spans="12:21" x14ac:dyDescent="0.25">
      <c r="L106" s="26">
        <v>103</v>
      </c>
      <c r="M106" t="s">
        <v>217</v>
      </c>
      <c r="N106" s="1" t="str">
        <f t="shared" si="6"/>
        <v/>
      </c>
      <c r="O106" s="31"/>
      <c r="P106" s="34" t="str">
        <f t="shared" si="7"/>
        <v/>
      </c>
      <c r="R106" t="s">
        <v>217</v>
      </c>
      <c r="S106" s="1" t="str">
        <f t="shared" si="9"/>
        <v/>
      </c>
      <c r="T106" s="1"/>
      <c r="U106" s="35" t="str">
        <f t="shared" si="8"/>
        <v/>
      </c>
    </row>
    <row r="107" spans="12:21" x14ac:dyDescent="0.25">
      <c r="L107" s="26">
        <v>104</v>
      </c>
      <c r="M107" t="s">
        <v>216</v>
      </c>
      <c r="N107" s="1" t="str">
        <f t="shared" si="6"/>
        <v/>
      </c>
      <c r="O107" s="31"/>
      <c r="P107" s="34" t="str">
        <f t="shared" si="7"/>
        <v/>
      </c>
      <c r="R107" t="s">
        <v>216</v>
      </c>
      <c r="S107" s="1" t="str">
        <f t="shared" si="9"/>
        <v/>
      </c>
      <c r="T107" s="1"/>
      <c r="U107" s="35" t="str">
        <f t="shared" si="8"/>
        <v/>
      </c>
    </row>
    <row r="108" spans="12:21" x14ac:dyDescent="0.25">
      <c r="L108" s="26">
        <v>105</v>
      </c>
      <c r="M108" t="s">
        <v>215</v>
      </c>
      <c r="N108" s="1" t="str">
        <f t="shared" si="6"/>
        <v/>
      </c>
      <c r="O108" s="31"/>
      <c r="P108" s="34" t="str">
        <f t="shared" si="7"/>
        <v/>
      </c>
      <c r="R108" t="s">
        <v>215</v>
      </c>
      <c r="S108" s="1" t="str">
        <f t="shared" si="9"/>
        <v/>
      </c>
      <c r="T108" s="1"/>
      <c r="U108" s="35" t="str">
        <f t="shared" si="8"/>
        <v/>
      </c>
    </row>
    <row r="109" spans="12:21" x14ac:dyDescent="0.25">
      <c r="L109" s="26">
        <v>106</v>
      </c>
      <c r="M109" t="s">
        <v>214</v>
      </c>
      <c r="N109" s="1" t="str">
        <f t="shared" si="6"/>
        <v/>
      </c>
      <c r="O109" s="31"/>
      <c r="P109" s="34" t="str">
        <f t="shared" si="7"/>
        <v/>
      </c>
      <c r="R109" t="s">
        <v>214</v>
      </c>
      <c r="S109" s="1" t="str">
        <f t="shared" si="9"/>
        <v/>
      </c>
      <c r="T109" s="1"/>
      <c r="U109" s="35" t="str">
        <f t="shared" si="8"/>
        <v/>
      </c>
    </row>
    <row r="110" spans="12:21" x14ac:dyDescent="0.25">
      <c r="L110" s="26">
        <v>107</v>
      </c>
      <c r="M110" t="s">
        <v>213</v>
      </c>
      <c r="N110" s="1" t="str">
        <f t="shared" si="6"/>
        <v/>
      </c>
      <c r="O110" s="31"/>
      <c r="P110" s="34" t="str">
        <f t="shared" si="7"/>
        <v/>
      </c>
      <c r="R110" t="s">
        <v>213</v>
      </c>
      <c r="S110" s="1" t="str">
        <f t="shared" si="9"/>
        <v/>
      </c>
      <c r="T110" s="1"/>
      <c r="U110" s="35" t="str">
        <f t="shared" si="8"/>
        <v/>
      </c>
    </row>
    <row r="111" spans="12:21" x14ac:dyDescent="0.25">
      <c r="L111" s="26">
        <v>108</v>
      </c>
      <c r="M111" t="s">
        <v>212</v>
      </c>
      <c r="N111" s="1" t="str">
        <f t="shared" si="6"/>
        <v/>
      </c>
      <c r="O111" s="31"/>
      <c r="P111" s="34" t="str">
        <f t="shared" si="7"/>
        <v/>
      </c>
      <c r="R111" t="s">
        <v>212</v>
      </c>
      <c r="S111" s="1" t="str">
        <f t="shared" si="9"/>
        <v/>
      </c>
      <c r="T111" s="1"/>
      <c r="U111" s="35" t="str">
        <f t="shared" si="8"/>
        <v/>
      </c>
    </row>
    <row r="112" spans="12:21" x14ac:dyDescent="0.25">
      <c r="L112" s="26">
        <v>109</v>
      </c>
      <c r="M112" t="s">
        <v>211</v>
      </c>
      <c r="N112" s="1" t="str">
        <f t="shared" si="6"/>
        <v/>
      </c>
      <c r="O112" s="31"/>
      <c r="P112" s="34" t="str">
        <f t="shared" si="7"/>
        <v/>
      </c>
      <c r="R112" t="s">
        <v>211</v>
      </c>
      <c r="S112" s="1" t="str">
        <f t="shared" si="9"/>
        <v/>
      </c>
      <c r="T112" s="1"/>
      <c r="U112" s="35" t="str">
        <f t="shared" si="8"/>
        <v/>
      </c>
    </row>
    <row r="113" spans="12:21" x14ac:dyDescent="0.25">
      <c r="L113" s="26">
        <v>110</v>
      </c>
      <c r="M113" t="s">
        <v>210</v>
      </c>
      <c r="N113" s="1" t="str">
        <f t="shared" si="6"/>
        <v/>
      </c>
      <c r="O113" s="31"/>
      <c r="P113" s="34" t="str">
        <f t="shared" si="7"/>
        <v/>
      </c>
      <c r="R113" t="s">
        <v>210</v>
      </c>
      <c r="S113" s="1" t="str">
        <f t="shared" si="9"/>
        <v/>
      </c>
      <c r="T113" s="1"/>
      <c r="U113" s="35" t="str">
        <f t="shared" si="8"/>
        <v/>
      </c>
    </row>
    <row r="114" spans="12:21" x14ac:dyDescent="0.25">
      <c r="L114" s="26">
        <v>111</v>
      </c>
      <c r="M114" t="s">
        <v>209</v>
      </c>
      <c r="N114" s="1" t="str">
        <f t="shared" si="6"/>
        <v/>
      </c>
      <c r="O114" s="31"/>
      <c r="P114" s="34" t="str">
        <f t="shared" si="7"/>
        <v/>
      </c>
      <c r="R114" t="s">
        <v>209</v>
      </c>
      <c r="S114" s="1" t="str">
        <f t="shared" si="9"/>
        <v/>
      </c>
      <c r="T114" s="1"/>
      <c r="U114" s="35" t="str">
        <f t="shared" si="8"/>
        <v/>
      </c>
    </row>
    <row r="115" spans="12:21" x14ac:dyDescent="0.25">
      <c r="L115" s="26">
        <v>112</v>
      </c>
      <c r="M115" t="s">
        <v>208</v>
      </c>
      <c r="N115" s="1" t="str">
        <f t="shared" si="6"/>
        <v/>
      </c>
      <c r="O115" s="31"/>
      <c r="P115" s="34" t="str">
        <f t="shared" si="7"/>
        <v/>
      </c>
      <c r="R115" t="s">
        <v>208</v>
      </c>
      <c r="S115" s="1" t="str">
        <f t="shared" si="9"/>
        <v/>
      </c>
      <c r="T115" s="1"/>
      <c r="U115" s="35" t="str">
        <f t="shared" si="8"/>
        <v/>
      </c>
    </row>
    <row r="116" spans="12:21" x14ac:dyDescent="0.25">
      <c r="L116" s="26">
        <v>113</v>
      </c>
      <c r="M116" t="s">
        <v>207</v>
      </c>
      <c r="N116" s="1" t="str">
        <f t="shared" si="6"/>
        <v/>
      </c>
      <c r="O116" s="31"/>
      <c r="P116" s="34" t="str">
        <f t="shared" si="7"/>
        <v/>
      </c>
      <c r="R116" t="s">
        <v>207</v>
      </c>
      <c r="S116" s="1" t="str">
        <f t="shared" si="9"/>
        <v/>
      </c>
      <c r="T116" s="1"/>
      <c r="U116" s="35" t="str">
        <f t="shared" si="8"/>
        <v/>
      </c>
    </row>
    <row r="117" spans="12:21" x14ac:dyDescent="0.25">
      <c r="L117" s="26">
        <v>114</v>
      </c>
      <c r="M117" t="s">
        <v>206</v>
      </c>
      <c r="N117" s="1" t="str">
        <f t="shared" si="6"/>
        <v/>
      </c>
      <c r="O117" s="31"/>
      <c r="P117" s="34" t="str">
        <f t="shared" si="7"/>
        <v/>
      </c>
      <c r="R117" t="s">
        <v>206</v>
      </c>
      <c r="S117" s="1" t="str">
        <f t="shared" si="9"/>
        <v/>
      </c>
      <c r="T117" s="1"/>
      <c r="U117" s="35" t="str">
        <f t="shared" si="8"/>
        <v/>
      </c>
    </row>
    <row r="118" spans="12:21" x14ac:dyDescent="0.25">
      <c r="L118" s="26">
        <v>115</v>
      </c>
      <c r="M118" t="s">
        <v>205</v>
      </c>
      <c r="N118" s="1" t="str">
        <f t="shared" si="6"/>
        <v/>
      </c>
      <c r="O118" s="31"/>
      <c r="P118" s="34" t="str">
        <f t="shared" si="7"/>
        <v/>
      </c>
      <c r="R118" t="s">
        <v>205</v>
      </c>
      <c r="S118" s="1" t="str">
        <f t="shared" si="9"/>
        <v/>
      </c>
      <c r="T118" s="1"/>
      <c r="U118" s="35" t="str">
        <f t="shared" si="8"/>
        <v/>
      </c>
    </row>
    <row r="119" spans="12:21" x14ac:dyDescent="0.25">
      <c r="L119" s="26">
        <v>116</v>
      </c>
      <c r="M119" t="s">
        <v>204</v>
      </c>
      <c r="N119" s="1" t="str">
        <f t="shared" si="6"/>
        <v/>
      </c>
      <c r="O119" s="31"/>
      <c r="P119" s="34" t="str">
        <f t="shared" si="7"/>
        <v/>
      </c>
      <c r="R119" t="s">
        <v>204</v>
      </c>
      <c r="S119" s="1" t="str">
        <f t="shared" si="9"/>
        <v/>
      </c>
      <c r="T119" s="1"/>
      <c r="U119" s="35" t="str">
        <f t="shared" si="8"/>
        <v/>
      </c>
    </row>
    <row r="120" spans="12:21" x14ac:dyDescent="0.25">
      <c r="L120" s="26">
        <v>117</v>
      </c>
      <c r="M120" t="s">
        <v>203</v>
      </c>
      <c r="N120" s="1" t="str">
        <f t="shared" si="6"/>
        <v/>
      </c>
      <c r="O120" s="31"/>
      <c r="P120" s="34" t="str">
        <f t="shared" si="7"/>
        <v/>
      </c>
      <c r="R120" t="s">
        <v>203</v>
      </c>
      <c r="S120" s="1" t="str">
        <f t="shared" si="9"/>
        <v/>
      </c>
      <c r="T120" s="1"/>
      <c r="U120" s="35" t="str">
        <f t="shared" si="8"/>
        <v/>
      </c>
    </row>
    <row r="121" spans="12:21" x14ac:dyDescent="0.25">
      <c r="L121" s="26">
        <v>118</v>
      </c>
      <c r="M121" t="s">
        <v>202</v>
      </c>
      <c r="N121" s="1" t="str">
        <f t="shared" si="6"/>
        <v/>
      </c>
      <c r="O121" s="31"/>
      <c r="P121" s="34" t="str">
        <f t="shared" si="7"/>
        <v/>
      </c>
      <c r="R121" t="s">
        <v>202</v>
      </c>
      <c r="S121" s="1" t="str">
        <f t="shared" si="9"/>
        <v/>
      </c>
      <c r="T121" s="1"/>
      <c r="U121" s="35" t="str">
        <f t="shared" si="8"/>
        <v/>
      </c>
    </row>
    <row r="122" spans="12:21" x14ac:dyDescent="0.25">
      <c r="L122" s="26">
        <v>119</v>
      </c>
      <c r="M122" t="s">
        <v>201</v>
      </c>
      <c r="N122" s="1" t="str">
        <f t="shared" si="6"/>
        <v/>
      </c>
      <c r="O122" s="31"/>
      <c r="P122" s="34" t="str">
        <f t="shared" si="7"/>
        <v/>
      </c>
      <c r="R122" t="s">
        <v>201</v>
      </c>
      <c r="S122" s="1" t="str">
        <f t="shared" si="9"/>
        <v/>
      </c>
      <c r="T122" s="1"/>
      <c r="U122" s="35" t="str">
        <f t="shared" si="8"/>
        <v/>
      </c>
    </row>
    <row r="123" spans="12:21" x14ac:dyDescent="0.25">
      <c r="L123" s="26">
        <v>120</v>
      </c>
      <c r="M123" t="s">
        <v>200</v>
      </c>
      <c r="N123" s="1" t="str">
        <f t="shared" si="6"/>
        <v/>
      </c>
      <c r="O123" s="31"/>
      <c r="P123" s="34" t="str">
        <f t="shared" si="7"/>
        <v/>
      </c>
      <c r="R123" t="s">
        <v>200</v>
      </c>
      <c r="S123" s="1" t="str">
        <f t="shared" si="9"/>
        <v/>
      </c>
      <c r="T123" s="1"/>
      <c r="U123" s="35" t="str">
        <f t="shared" si="8"/>
        <v/>
      </c>
    </row>
    <row r="124" spans="12:21" x14ac:dyDescent="0.25">
      <c r="L124" s="26">
        <v>121</v>
      </c>
      <c r="M124" t="s">
        <v>199</v>
      </c>
      <c r="N124" s="1" t="str">
        <f t="shared" si="6"/>
        <v/>
      </c>
      <c r="O124" s="31"/>
      <c r="P124" s="34" t="str">
        <f t="shared" si="7"/>
        <v/>
      </c>
      <c r="R124" t="s">
        <v>199</v>
      </c>
      <c r="S124" s="1" t="str">
        <f t="shared" si="9"/>
        <v/>
      </c>
      <c r="T124" s="1"/>
      <c r="U124" s="35" t="str">
        <f t="shared" si="8"/>
        <v/>
      </c>
    </row>
    <row r="125" spans="12:21" x14ac:dyDescent="0.25">
      <c r="L125" s="26">
        <v>122</v>
      </c>
      <c r="M125" t="s">
        <v>198</v>
      </c>
      <c r="N125" s="1" t="str">
        <f t="shared" si="6"/>
        <v/>
      </c>
      <c r="O125" s="31"/>
      <c r="P125" s="34" t="str">
        <f t="shared" si="7"/>
        <v/>
      </c>
      <c r="R125" t="s">
        <v>198</v>
      </c>
      <c r="S125" s="1" t="str">
        <f t="shared" si="9"/>
        <v/>
      </c>
      <c r="T125" s="1"/>
      <c r="U125" s="35" t="str">
        <f t="shared" si="8"/>
        <v/>
      </c>
    </row>
    <row r="126" spans="12:21" x14ac:dyDescent="0.25">
      <c r="L126" s="26">
        <v>123</v>
      </c>
      <c r="M126" t="s">
        <v>197</v>
      </c>
      <c r="N126" s="1" t="str">
        <f t="shared" si="6"/>
        <v/>
      </c>
      <c r="O126" s="31"/>
      <c r="P126" s="34" t="str">
        <f t="shared" si="7"/>
        <v/>
      </c>
      <c r="R126" t="s">
        <v>197</v>
      </c>
      <c r="S126" s="1" t="str">
        <f t="shared" si="9"/>
        <v/>
      </c>
      <c r="T126" s="1"/>
      <c r="U126" s="35" t="str">
        <f t="shared" si="8"/>
        <v/>
      </c>
    </row>
    <row r="127" spans="12:21" x14ac:dyDescent="0.25">
      <c r="L127" s="26">
        <v>124</v>
      </c>
      <c r="M127" t="s">
        <v>196</v>
      </c>
      <c r="N127" s="1" t="str">
        <f t="shared" si="6"/>
        <v/>
      </c>
      <c r="O127" s="31"/>
      <c r="P127" s="34" t="str">
        <f t="shared" si="7"/>
        <v/>
      </c>
      <c r="R127" t="s">
        <v>196</v>
      </c>
      <c r="S127" s="1" t="str">
        <f t="shared" si="9"/>
        <v/>
      </c>
      <c r="T127" s="1"/>
      <c r="U127" s="35" t="str">
        <f t="shared" si="8"/>
        <v/>
      </c>
    </row>
    <row r="128" spans="12:21" x14ac:dyDescent="0.25">
      <c r="L128" s="26">
        <v>125</v>
      </c>
      <c r="M128" t="s">
        <v>195</v>
      </c>
      <c r="N128" s="1" t="str">
        <f t="shared" si="6"/>
        <v/>
      </c>
      <c r="O128" s="31"/>
      <c r="P128" s="34" t="str">
        <f t="shared" si="7"/>
        <v/>
      </c>
      <c r="R128" t="s">
        <v>195</v>
      </c>
      <c r="S128" s="1" t="str">
        <f t="shared" si="9"/>
        <v/>
      </c>
      <c r="T128" s="1"/>
      <c r="U128" s="35" t="str">
        <f t="shared" si="8"/>
        <v/>
      </c>
    </row>
    <row r="129" spans="12:21" x14ac:dyDescent="0.25">
      <c r="L129" s="26">
        <v>126</v>
      </c>
      <c r="M129" t="s">
        <v>194</v>
      </c>
      <c r="N129" s="1" t="str">
        <f t="shared" si="6"/>
        <v/>
      </c>
      <c r="O129" s="31"/>
      <c r="P129" s="34" t="str">
        <f t="shared" si="7"/>
        <v/>
      </c>
      <c r="R129" t="s">
        <v>194</v>
      </c>
      <c r="S129" s="1" t="str">
        <f t="shared" si="9"/>
        <v/>
      </c>
      <c r="T129" s="1"/>
      <c r="U129" s="35" t="str">
        <f t="shared" si="8"/>
        <v/>
      </c>
    </row>
    <row r="130" spans="12:21" x14ac:dyDescent="0.25">
      <c r="L130" s="26">
        <v>127</v>
      </c>
      <c r="M130" t="s">
        <v>193</v>
      </c>
      <c r="N130" s="1" t="str">
        <f t="shared" si="6"/>
        <v/>
      </c>
      <c r="O130" s="31"/>
      <c r="P130" s="34" t="str">
        <f t="shared" si="7"/>
        <v/>
      </c>
      <c r="R130" t="s">
        <v>193</v>
      </c>
      <c r="S130" s="1" t="str">
        <f t="shared" si="9"/>
        <v/>
      </c>
      <c r="T130" s="1"/>
      <c r="U130" s="35" t="str">
        <f t="shared" si="8"/>
        <v/>
      </c>
    </row>
    <row r="131" spans="12:21" x14ac:dyDescent="0.25">
      <c r="L131" s="26">
        <v>128</v>
      </c>
      <c r="M131" t="s">
        <v>192</v>
      </c>
      <c r="N131" s="1" t="str">
        <f t="shared" si="6"/>
        <v/>
      </c>
      <c r="O131" s="31"/>
      <c r="P131" s="34" t="str">
        <f t="shared" si="7"/>
        <v/>
      </c>
      <c r="R131" t="s">
        <v>192</v>
      </c>
      <c r="S131" s="1" t="str">
        <f t="shared" si="9"/>
        <v/>
      </c>
      <c r="T131" s="1"/>
      <c r="U131" s="35" t="str">
        <f t="shared" si="8"/>
        <v/>
      </c>
    </row>
    <row r="132" spans="12:21" x14ac:dyDescent="0.25">
      <c r="L132" s="26">
        <v>129</v>
      </c>
      <c r="M132" t="s">
        <v>191</v>
      </c>
      <c r="N132" s="1" t="str">
        <f t="shared" si="6"/>
        <v/>
      </c>
      <c r="O132" s="31"/>
      <c r="P132" s="34" t="str">
        <f t="shared" si="7"/>
        <v/>
      </c>
      <c r="R132" t="s">
        <v>191</v>
      </c>
      <c r="S132" s="1" t="str">
        <f t="shared" si="9"/>
        <v/>
      </c>
      <c r="T132" s="1"/>
      <c r="U132" s="35" t="str">
        <f t="shared" si="8"/>
        <v/>
      </c>
    </row>
    <row r="133" spans="12:21" x14ac:dyDescent="0.25">
      <c r="L133" s="26">
        <v>130</v>
      </c>
      <c r="M133" t="s">
        <v>190</v>
      </c>
      <c r="N133" s="1" t="str">
        <f t="shared" ref="N133:N196" si="10">IF(L133&gt;$I$2,"",F133/$D$3-1)</f>
        <v/>
      </c>
      <c r="O133" s="31"/>
      <c r="P133" s="34" t="str">
        <f t="shared" ref="P133:P196" si="11">IF(AND(L133&lt;=$I$2,N133&lt;= -0.1),1,"")</f>
        <v/>
      </c>
      <c r="R133" t="s">
        <v>190</v>
      </c>
      <c r="S133" s="1" t="str">
        <f t="shared" si="9"/>
        <v/>
      </c>
      <c r="T133" s="1"/>
      <c r="U133" s="35" t="str">
        <f t="shared" ref="U133:U196" si="12">IF(AND(L133&lt;=$I$2,S133&gt;=0.2),1,"")</f>
        <v/>
      </c>
    </row>
    <row r="134" spans="12:21" x14ac:dyDescent="0.25">
      <c r="L134" s="26">
        <v>131</v>
      </c>
      <c r="M134" t="s">
        <v>189</v>
      </c>
      <c r="N134" s="1" t="str">
        <f t="shared" si="10"/>
        <v/>
      </c>
      <c r="O134" s="31"/>
      <c r="P134" s="34" t="str">
        <f t="shared" si="11"/>
        <v/>
      </c>
      <c r="R134" t="s">
        <v>189</v>
      </c>
      <c r="S134" s="1" t="str">
        <f t="shared" si="9"/>
        <v/>
      </c>
      <c r="T134" s="1"/>
      <c r="U134" s="35" t="str">
        <f t="shared" si="12"/>
        <v/>
      </c>
    </row>
    <row r="135" spans="12:21" x14ac:dyDescent="0.25">
      <c r="L135" s="26">
        <v>132</v>
      </c>
      <c r="M135" t="s">
        <v>188</v>
      </c>
      <c r="N135" s="1" t="str">
        <f t="shared" si="10"/>
        <v/>
      </c>
      <c r="O135" s="31"/>
      <c r="P135" s="34" t="str">
        <f t="shared" si="11"/>
        <v/>
      </c>
      <c r="R135" t="s">
        <v>188</v>
      </c>
      <c r="S135" s="1" t="str">
        <f t="shared" si="9"/>
        <v/>
      </c>
      <c r="T135" s="1"/>
      <c r="U135" s="35" t="str">
        <f t="shared" si="12"/>
        <v/>
      </c>
    </row>
    <row r="136" spans="12:21" x14ac:dyDescent="0.25">
      <c r="L136" s="26">
        <v>133</v>
      </c>
      <c r="M136" t="s">
        <v>187</v>
      </c>
      <c r="N136" s="1" t="str">
        <f t="shared" si="10"/>
        <v/>
      </c>
      <c r="O136" s="31"/>
      <c r="P136" s="34" t="str">
        <f t="shared" si="11"/>
        <v/>
      </c>
      <c r="R136" t="s">
        <v>187</v>
      </c>
      <c r="S136" s="1" t="str">
        <f t="shared" si="9"/>
        <v/>
      </c>
      <c r="T136" s="1"/>
      <c r="U136" s="35" t="str">
        <f t="shared" si="12"/>
        <v/>
      </c>
    </row>
    <row r="137" spans="12:21" x14ac:dyDescent="0.25">
      <c r="L137" s="26">
        <v>134</v>
      </c>
      <c r="M137" t="s">
        <v>186</v>
      </c>
      <c r="N137" s="1" t="str">
        <f t="shared" si="10"/>
        <v/>
      </c>
      <c r="O137" s="31"/>
      <c r="P137" s="34" t="str">
        <f t="shared" si="11"/>
        <v/>
      </c>
      <c r="R137" t="s">
        <v>186</v>
      </c>
      <c r="S137" s="1" t="str">
        <f t="shared" si="9"/>
        <v/>
      </c>
      <c r="T137" s="1"/>
      <c r="U137" s="35" t="str">
        <f t="shared" si="12"/>
        <v/>
      </c>
    </row>
    <row r="138" spans="12:21" x14ac:dyDescent="0.25">
      <c r="L138" s="26">
        <v>135</v>
      </c>
      <c r="M138" t="s">
        <v>185</v>
      </c>
      <c r="N138" s="1" t="str">
        <f t="shared" si="10"/>
        <v/>
      </c>
      <c r="O138" s="31"/>
      <c r="P138" s="34" t="str">
        <f t="shared" si="11"/>
        <v/>
      </c>
      <c r="R138" t="s">
        <v>185</v>
      </c>
      <c r="S138" s="1" t="str">
        <f t="shared" si="9"/>
        <v/>
      </c>
      <c r="T138" s="1"/>
      <c r="U138" s="35" t="str">
        <f t="shared" si="12"/>
        <v/>
      </c>
    </row>
    <row r="139" spans="12:21" x14ac:dyDescent="0.25">
      <c r="L139" s="26">
        <v>136</v>
      </c>
      <c r="M139" t="s">
        <v>184</v>
      </c>
      <c r="N139" s="1" t="str">
        <f t="shared" si="10"/>
        <v/>
      </c>
      <c r="O139" s="31"/>
      <c r="P139" s="34" t="str">
        <f t="shared" si="11"/>
        <v/>
      </c>
      <c r="R139" t="s">
        <v>184</v>
      </c>
      <c r="S139" s="1" t="str">
        <f t="shared" si="9"/>
        <v/>
      </c>
      <c r="T139" s="1"/>
      <c r="U139" s="35" t="str">
        <f t="shared" si="12"/>
        <v/>
      </c>
    </row>
    <row r="140" spans="12:21" x14ac:dyDescent="0.25">
      <c r="L140" s="26">
        <v>137</v>
      </c>
      <c r="M140" t="s">
        <v>183</v>
      </c>
      <c r="N140" s="1" t="str">
        <f t="shared" si="10"/>
        <v/>
      </c>
      <c r="O140" s="31"/>
      <c r="P140" s="34" t="str">
        <f t="shared" si="11"/>
        <v/>
      </c>
      <c r="R140" t="s">
        <v>183</v>
      </c>
      <c r="S140" s="1" t="str">
        <f t="shared" si="9"/>
        <v/>
      </c>
      <c r="T140" s="1"/>
      <c r="U140" s="35" t="str">
        <f t="shared" si="12"/>
        <v/>
      </c>
    </row>
    <row r="141" spans="12:21" x14ac:dyDescent="0.25">
      <c r="L141" s="26">
        <v>138</v>
      </c>
      <c r="M141" t="s">
        <v>182</v>
      </c>
      <c r="N141" s="1" t="str">
        <f t="shared" si="10"/>
        <v/>
      </c>
      <c r="O141" s="31"/>
      <c r="P141" s="34" t="str">
        <f t="shared" si="11"/>
        <v/>
      </c>
      <c r="R141" t="s">
        <v>182</v>
      </c>
      <c r="S141" s="1" t="str">
        <f t="shared" si="9"/>
        <v/>
      </c>
      <c r="T141" s="1"/>
      <c r="U141" s="35" t="str">
        <f t="shared" si="12"/>
        <v/>
      </c>
    </row>
    <row r="142" spans="12:21" x14ac:dyDescent="0.25">
      <c r="L142" s="26">
        <v>139</v>
      </c>
      <c r="M142" t="s">
        <v>181</v>
      </c>
      <c r="N142" s="1" t="str">
        <f t="shared" si="10"/>
        <v/>
      </c>
      <c r="O142" s="31"/>
      <c r="P142" s="34" t="str">
        <f t="shared" si="11"/>
        <v/>
      </c>
      <c r="R142" t="s">
        <v>181</v>
      </c>
      <c r="S142" s="1" t="str">
        <f t="shared" si="9"/>
        <v/>
      </c>
      <c r="T142" s="1"/>
      <c r="U142" s="35" t="str">
        <f t="shared" si="12"/>
        <v/>
      </c>
    </row>
    <row r="143" spans="12:21" x14ac:dyDescent="0.25">
      <c r="L143" s="26">
        <v>140</v>
      </c>
      <c r="M143" t="s">
        <v>180</v>
      </c>
      <c r="N143" s="1" t="str">
        <f t="shared" si="10"/>
        <v/>
      </c>
      <c r="O143" s="31"/>
      <c r="P143" s="34" t="str">
        <f t="shared" si="11"/>
        <v/>
      </c>
      <c r="R143" t="s">
        <v>180</v>
      </c>
      <c r="S143" s="1" t="str">
        <f t="shared" si="9"/>
        <v/>
      </c>
      <c r="T143" s="1"/>
      <c r="U143" s="35" t="str">
        <f t="shared" si="12"/>
        <v/>
      </c>
    </row>
    <row r="144" spans="12:21" x14ac:dyDescent="0.25">
      <c r="L144" s="26">
        <v>141</v>
      </c>
      <c r="M144" t="s">
        <v>179</v>
      </c>
      <c r="N144" s="1" t="str">
        <f t="shared" si="10"/>
        <v/>
      </c>
      <c r="O144" s="31"/>
      <c r="P144" s="34" t="str">
        <f t="shared" si="11"/>
        <v/>
      </c>
      <c r="R144" t="s">
        <v>179</v>
      </c>
      <c r="S144" s="1" t="str">
        <f t="shared" si="9"/>
        <v/>
      </c>
      <c r="T144" s="1"/>
      <c r="U144" s="35" t="str">
        <f t="shared" si="12"/>
        <v/>
      </c>
    </row>
    <row r="145" spans="12:21" x14ac:dyDescent="0.25">
      <c r="L145" s="26">
        <v>142</v>
      </c>
      <c r="M145" t="s">
        <v>178</v>
      </c>
      <c r="N145" s="1" t="str">
        <f t="shared" si="10"/>
        <v/>
      </c>
      <c r="O145" s="31"/>
      <c r="P145" s="34" t="str">
        <f t="shared" si="11"/>
        <v/>
      </c>
      <c r="R145" t="s">
        <v>178</v>
      </c>
      <c r="S145" s="1" t="str">
        <f t="shared" si="9"/>
        <v/>
      </c>
      <c r="T145" s="1"/>
      <c r="U145" s="35" t="str">
        <f t="shared" si="12"/>
        <v/>
      </c>
    </row>
    <row r="146" spans="12:21" x14ac:dyDescent="0.25">
      <c r="L146" s="26">
        <v>143</v>
      </c>
      <c r="M146" t="s">
        <v>177</v>
      </c>
      <c r="N146" s="1" t="str">
        <f t="shared" si="10"/>
        <v/>
      </c>
      <c r="O146" s="31"/>
      <c r="P146" s="34" t="str">
        <f t="shared" si="11"/>
        <v/>
      </c>
      <c r="R146" t="s">
        <v>177</v>
      </c>
      <c r="S146" s="1" t="str">
        <f t="shared" si="9"/>
        <v/>
      </c>
      <c r="T146" s="1"/>
      <c r="U146" s="35" t="str">
        <f t="shared" si="12"/>
        <v/>
      </c>
    </row>
    <row r="147" spans="12:21" x14ac:dyDescent="0.25">
      <c r="L147" s="26">
        <v>144</v>
      </c>
      <c r="M147" t="s">
        <v>176</v>
      </c>
      <c r="N147" s="1" t="str">
        <f t="shared" si="10"/>
        <v/>
      </c>
      <c r="O147" s="31"/>
      <c r="P147" s="34" t="str">
        <f t="shared" si="11"/>
        <v/>
      </c>
      <c r="R147" t="s">
        <v>176</v>
      </c>
      <c r="S147" s="1" t="str">
        <f t="shared" si="9"/>
        <v/>
      </c>
      <c r="T147" s="1"/>
      <c r="U147" s="35" t="str">
        <f t="shared" si="12"/>
        <v/>
      </c>
    </row>
    <row r="148" spans="12:21" x14ac:dyDescent="0.25">
      <c r="L148" s="26">
        <v>145</v>
      </c>
      <c r="M148" t="s">
        <v>175</v>
      </c>
      <c r="N148" s="1" t="str">
        <f t="shared" si="10"/>
        <v/>
      </c>
      <c r="O148" s="31"/>
      <c r="P148" s="34" t="str">
        <f t="shared" si="11"/>
        <v/>
      </c>
      <c r="R148" t="s">
        <v>175</v>
      </c>
      <c r="S148" s="1" t="str">
        <f t="shared" si="9"/>
        <v/>
      </c>
      <c r="T148" s="1"/>
      <c r="U148" s="35" t="str">
        <f t="shared" si="12"/>
        <v/>
      </c>
    </row>
    <row r="149" spans="12:21" x14ac:dyDescent="0.25">
      <c r="L149" s="26">
        <v>146</v>
      </c>
      <c r="M149" t="s">
        <v>174</v>
      </c>
      <c r="N149" s="1" t="str">
        <f t="shared" si="10"/>
        <v/>
      </c>
      <c r="O149" s="31"/>
      <c r="P149" s="34" t="str">
        <f t="shared" si="11"/>
        <v/>
      </c>
      <c r="R149" t="s">
        <v>174</v>
      </c>
      <c r="S149" s="1" t="str">
        <f t="shared" si="9"/>
        <v/>
      </c>
      <c r="T149" s="1"/>
      <c r="U149" s="35" t="str">
        <f t="shared" si="12"/>
        <v/>
      </c>
    </row>
    <row r="150" spans="12:21" x14ac:dyDescent="0.25">
      <c r="L150" s="26">
        <v>147</v>
      </c>
      <c r="M150" t="s">
        <v>173</v>
      </c>
      <c r="N150" s="1" t="str">
        <f t="shared" si="10"/>
        <v/>
      </c>
      <c r="O150" s="31"/>
      <c r="P150" s="34" t="str">
        <f t="shared" si="11"/>
        <v/>
      </c>
      <c r="R150" t="s">
        <v>173</v>
      </c>
      <c r="S150" s="1" t="str">
        <f t="shared" si="9"/>
        <v/>
      </c>
      <c r="T150" s="1"/>
      <c r="U150" s="35" t="str">
        <f t="shared" si="12"/>
        <v/>
      </c>
    </row>
    <row r="151" spans="12:21" x14ac:dyDescent="0.25">
      <c r="L151" s="26">
        <v>148</v>
      </c>
      <c r="M151" t="s">
        <v>172</v>
      </c>
      <c r="N151" s="1" t="str">
        <f t="shared" si="10"/>
        <v/>
      </c>
      <c r="O151" s="31"/>
      <c r="P151" s="34" t="str">
        <f t="shared" si="11"/>
        <v/>
      </c>
      <c r="R151" t="s">
        <v>172</v>
      </c>
      <c r="S151" s="1" t="str">
        <f t="shared" si="9"/>
        <v/>
      </c>
      <c r="T151" s="1"/>
      <c r="U151" s="35" t="str">
        <f t="shared" si="12"/>
        <v/>
      </c>
    </row>
    <row r="152" spans="12:21" x14ac:dyDescent="0.25">
      <c r="L152" s="26">
        <v>149</v>
      </c>
      <c r="M152" t="s">
        <v>171</v>
      </c>
      <c r="N152" s="1" t="str">
        <f t="shared" si="10"/>
        <v/>
      </c>
      <c r="O152" s="31"/>
      <c r="P152" s="34" t="str">
        <f t="shared" si="11"/>
        <v/>
      </c>
      <c r="R152" t="s">
        <v>171</v>
      </c>
      <c r="S152" s="1" t="str">
        <f t="shared" ref="S152:S215" si="13">IF(L152&gt;$I$2,"",E152/$D$3-1)</f>
        <v/>
      </c>
      <c r="T152" s="1"/>
      <c r="U152" s="35" t="str">
        <f t="shared" si="12"/>
        <v/>
      </c>
    </row>
    <row r="153" spans="12:21" x14ac:dyDescent="0.25">
      <c r="L153" s="26">
        <v>150</v>
      </c>
      <c r="M153" t="s">
        <v>170</v>
      </c>
      <c r="N153" s="1" t="str">
        <f t="shared" si="10"/>
        <v/>
      </c>
      <c r="O153" s="31"/>
      <c r="P153" s="34" t="str">
        <f t="shared" si="11"/>
        <v/>
      </c>
      <c r="R153" t="s">
        <v>170</v>
      </c>
      <c r="S153" s="1" t="str">
        <f t="shared" si="13"/>
        <v/>
      </c>
      <c r="T153" s="1"/>
      <c r="U153" s="35" t="str">
        <f t="shared" si="12"/>
        <v/>
      </c>
    </row>
    <row r="154" spans="12:21" x14ac:dyDescent="0.25">
      <c r="L154" s="26">
        <v>151</v>
      </c>
      <c r="M154" t="s">
        <v>169</v>
      </c>
      <c r="N154" s="1" t="str">
        <f t="shared" si="10"/>
        <v/>
      </c>
      <c r="O154" s="31"/>
      <c r="P154" s="34" t="str">
        <f t="shared" si="11"/>
        <v/>
      </c>
      <c r="R154" t="s">
        <v>169</v>
      </c>
      <c r="S154" s="1" t="str">
        <f t="shared" si="13"/>
        <v/>
      </c>
      <c r="T154" s="1"/>
      <c r="U154" s="35" t="str">
        <f t="shared" si="12"/>
        <v/>
      </c>
    </row>
    <row r="155" spans="12:21" x14ac:dyDescent="0.25">
      <c r="L155" s="26">
        <v>152</v>
      </c>
      <c r="M155" t="s">
        <v>168</v>
      </c>
      <c r="N155" s="1" t="str">
        <f t="shared" si="10"/>
        <v/>
      </c>
      <c r="O155" s="31"/>
      <c r="P155" s="34" t="str">
        <f t="shared" si="11"/>
        <v/>
      </c>
      <c r="R155" t="s">
        <v>168</v>
      </c>
      <c r="S155" s="1" t="str">
        <f t="shared" si="13"/>
        <v/>
      </c>
      <c r="T155" s="1"/>
      <c r="U155" s="35" t="str">
        <f t="shared" si="12"/>
        <v/>
      </c>
    </row>
    <row r="156" spans="12:21" x14ac:dyDescent="0.25">
      <c r="L156" s="26">
        <v>153</v>
      </c>
      <c r="M156" t="s">
        <v>167</v>
      </c>
      <c r="N156" s="1" t="str">
        <f t="shared" si="10"/>
        <v/>
      </c>
      <c r="O156" s="31"/>
      <c r="P156" s="34" t="str">
        <f t="shared" si="11"/>
        <v/>
      </c>
      <c r="R156" t="s">
        <v>167</v>
      </c>
      <c r="S156" s="1" t="str">
        <f t="shared" si="13"/>
        <v/>
      </c>
      <c r="T156" s="1"/>
      <c r="U156" s="35" t="str">
        <f t="shared" si="12"/>
        <v/>
      </c>
    </row>
    <row r="157" spans="12:21" x14ac:dyDescent="0.25">
      <c r="L157" s="26">
        <v>154</v>
      </c>
      <c r="M157" t="s">
        <v>166</v>
      </c>
      <c r="N157" s="1" t="str">
        <f t="shared" si="10"/>
        <v/>
      </c>
      <c r="O157" s="31"/>
      <c r="P157" s="34" t="str">
        <f t="shared" si="11"/>
        <v/>
      </c>
      <c r="R157" t="s">
        <v>166</v>
      </c>
      <c r="S157" s="1" t="str">
        <f t="shared" si="13"/>
        <v/>
      </c>
      <c r="T157" s="1"/>
      <c r="U157" s="35" t="str">
        <f t="shared" si="12"/>
        <v/>
      </c>
    </row>
    <row r="158" spans="12:21" x14ac:dyDescent="0.25">
      <c r="L158" s="26">
        <v>155</v>
      </c>
      <c r="M158" t="s">
        <v>165</v>
      </c>
      <c r="N158" s="1" t="str">
        <f t="shared" si="10"/>
        <v/>
      </c>
      <c r="O158" s="31"/>
      <c r="P158" s="34" t="str">
        <f t="shared" si="11"/>
        <v/>
      </c>
      <c r="R158" t="s">
        <v>165</v>
      </c>
      <c r="S158" s="1" t="str">
        <f t="shared" si="13"/>
        <v/>
      </c>
      <c r="T158" s="1"/>
      <c r="U158" s="35" t="str">
        <f t="shared" si="12"/>
        <v/>
      </c>
    </row>
    <row r="159" spans="12:21" x14ac:dyDescent="0.25">
      <c r="L159" s="26">
        <v>156</v>
      </c>
      <c r="M159" t="s">
        <v>164</v>
      </c>
      <c r="N159" s="1" t="str">
        <f t="shared" si="10"/>
        <v/>
      </c>
      <c r="O159" s="31"/>
      <c r="P159" s="34" t="str">
        <f t="shared" si="11"/>
        <v/>
      </c>
      <c r="R159" t="s">
        <v>164</v>
      </c>
      <c r="S159" s="1" t="str">
        <f t="shared" si="13"/>
        <v/>
      </c>
      <c r="T159" s="1"/>
      <c r="U159" s="35" t="str">
        <f t="shared" si="12"/>
        <v/>
      </c>
    </row>
    <row r="160" spans="12:21" x14ac:dyDescent="0.25">
      <c r="L160" s="26">
        <v>157</v>
      </c>
      <c r="M160" t="s">
        <v>163</v>
      </c>
      <c r="N160" s="1" t="str">
        <f t="shared" si="10"/>
        <v/>
      </c>
      <c r="O160" s="31"/>
      <c r="P160" s="34" t="str">
        <f t="shared" si="11"/>
        <v/>
      </c>
      <c r="R160" t="s">
        <v>163</v>
      </c>
      <c r="S160" s="1" t="str">
        <f t="shared" si="13"/>
        <v/>
      </c>
      <c r="T160" s="1"/>
      <c r="U160" s="35" t="str">
        <f t="shared" si="12"/>
        <v/>
      </c>
    </row>
    <row r="161" spans="12:21" x14ac:dyDescent="0.25">
      <c r="L161" s="26">
        <v>158</v>
      </c>
      <c r="M161" t="s">
        <v>162</v>
      </c>
      <c r="N161" s="1" t="str">
        <f t="shared" si="10"/>
        <v/>
      </c>
      <c r="O161" s="31"/>
      <c r="P161" s="34" t="str">
        <f t="shared" si="11"/>
        <v/>
      </c>
      <c r="R161" t="s">
        <v>162</v>
      </c>
      <c r="S161" s="1" t="str">
        <f t="shared" si="13"/>
        <v/>
      </c>
      <c r="T161" s="1"/>
      <c r="U161" s="35" t="str">
        <f t="shared" si="12"/>
        <v/>
      </c>
    </row>
    <row r="162" spans="12:21" x14ac:dyDescent="0.25">
      <c r="L162" s="26">
        <v>159</v>
      </c>
      <c r="M162" t="s">
        <v>161</v>
      </c>
      <c r="N162" s="1" t="str">
        <f t="shared" si="10"/>
        <v/>
      </c>
      <c r="O162" s="31"/>
      <c r="P162" s="34" t="str">
        <f t="shared" si="11"/>
        <v/>
      </c>
      <c r="R162" t="s">
        <v>161</v>
      </c>
      <c r="S162" s="1" t="str">
        <f t="shared" si="13"/>
        <v/>
      </c>
      <c r="T162" s="1"/>
      <c r="U162" s="35" t="str">
        <f t="shared" si="12"/>
        <v/>
      </c>
    </row>
    <row r="163" spans="12:21" x14ac:dyDescent="0.25">
      <c r="L163" s="26">
        <v>160</v>
      </c>
      <c r="M163" t="s">
        <v>160</v>
      </c>
      <c r="N163" s="1" t="str">
        <f t="shared" si="10"/>
        <v/>
      </c>
      <c r="O163" s="31"/>
      <c r="P163" s="34" t="str">
        <f t="shared" si="11"/>
        <v/>
      </c>
      <c r="R163" t="s">
        <v>160</v>
      </c>
      <c r="S163" s="1" t="str">
        <f t="shared" si="13"/>
        <v/>
      </c>
      <c r="T163" s="1"/>
      <c r="U163" s="35" t="str">
        <f t="shared" si="12"/>
        <v/>
      </c>
    </row>
    <row r="164" spans="12:21" x14ac:dyDescent="0.25">
      <c r="L164" s="26">
        <v>161</v>
      </c>
      <c r="M164" t="s">
        <v>159</v>
      </c>
      <c r="N164" s="1" t="str">
        <f t="shared" si="10"/>
        <v/>
      </c>
      <c r="O164" s="31"/>
      <c r="P164" s="34" t="str">
        <f t="shared" si="11"/>
        <v/>
      </c>
      <c r="R164" t="s">
        <v>159</v>
      </c>
      <c r="S164" s="1" t="str">
        <f t="shared" si="13"/>
        <v/>
      </c>
      <c r="T164" s="1"/>
      <c r="U164" s="35" t="str">
        <f t="shared" si="12"/>
        <v/>
      </c>
    </row>
    <row r="165" spans="12:21" x14ac:dyDescent="0.25">
      <c r="L165" s="26">
        <v>162</v>
      </c>
      <c r="M165" t="s">
        <v>158</v>
      </c>
      <c r="N165" s="1" t="str">
        <f t="shared" si="10"/>
        <v/>
      </c>
      <c r="O165" s="31"/>
      <c r="P165" s="34" t="str">
        <f t="shared" si="11"/>
        <v/>
      </c>
      <c r="R165" t="s">
        <v>158</v>
      </c>
      <c r="S165" s="1" t="str">
        <f t="shared" si="13"/>
        <v/>
      </c>
      <c r="T165" s="1"/>
      <c r="U165" s="35" t="str">
        <f t="shared" si="12"/>
        <v/>
      </c>
    </row>
    <row r="166" spans="12:21" x14ac:dyDescent="0.25">
      <c r="L166" s="26">
        <v>163</v>
      </c>
      <c r="M166" t="s">
        <v>157</v>
      </c>
      <c r="N166" s="1" t="str">
        <f t="shared" si="10"/>
        <v/>
      </c>
      <c r="O166" s="31"/>
      <c r="P166" s="34" t="str">
        <f t="shared" si="11"/>
        <v/>
      </c>
      <c r="R166" t="s">
        <v>157</v>
      </c>
      <c r="S166" s="1" t="str">
        <f t="shared" si="13"/>
        <v/>
      </c>
      <c r="T166" s="1"/>
      <c r="U166" s="35" t="str">
        <f t="shared" si="12"/>
        <v/>
      </c>
    </row>
    <row r="167" spans="12:21" x14ac:dyDescent="0.25">
      <c r="L167" s="26">
        <v>164</v>
      </c>
      <c r="M167" t="s">
        <v>156</v>
      </c>
      <c r="N167" s="1" t="str">
        <f t="shared" si="10"/>
        <v/>
      </c>
      <c r="O167" s="31"/>
      <c r="P167" s="34" t="str">
        <f t="shared" si="11"/>
        <v/>
      </c>
      <c r="R167" t="s">
        <v>156</v>
      </c>
      <c r="S167" s="1" t="str">
        <f t="shared" si="13"/>
        <v/>
      </c>
      <c r="T167" s="1"/>
      <c r="U167" s="35" t="str">
        <f t="shared" si="12"/>
        <v/>
      </c>
    </row>
    <row r="168" spans="12:21" x14ac:dyDescent="0.25">
      <c r="L168" s="26">
        <v>165</v>
      </c>
      <c r="M168" t="s">
        <v>155</v>
      </c>
      <c r="N168" s="1" t="str">
        <f t="shared" si="10"/>
        <v/>
      </c>
      <c r="O168" s="31"/>
      <c r="P168" s="34" t="str">
        <f t="shared" si="11"/>
        <v/>
      </c>
      <c r="R168" t="s">
        <v>155</v>
      </c>
      <c r="S168" s="1" t="str">
        <f t="shared" si="13"/>
        <v/>
      </c>
      <c r="T168" s="1"/>
      <c r="U168" s="35" t="str">
        <f t="shared" si="12"/>
        <v/>
      </c>
    </row>
    <row r="169" spans="12:21" x14ac:dyDescent="0.25">
      <c r="L169" s="26">
        <v>166</v>
      </c>
      <c r="M169" t="s">
        <v>154</v>
      </c>
      <c r="N169" s="1" t="str">
        <f t="shared" si="10"/>
        <v/>
      </c>
      <c r="O169" s="31"/>
      <c r="P169" s="34" t="str">
        <f t="shared" si="11"/>
        <v/>
      </c>
      <c r="R169" t="s">
        <v>154</v>
      </c>
      <c r="S169" s="1" t="str">
        <f t="shared" si="13"/>
        <v/>
      </c>
      <c r="T169" s="1"/>
      <c r="U169" s="35" t="str">
        <f t="shared" si="12"/>
        <v/>
      </c>
    </row>
    <row r="170" spans="12:21" x14ac:dyDescent="0.25">
      <c r="L170" s="26">
        <v>167</v>
      </c>
      <c r="M170" t="s">
        <v>153</v>
      </c>
      <c r="N170" s="1" t="str">
        <f t="shared" si="10"/>
        <v/>
      </c>
      <c r="O170" s="31"/>
      <c r="P170" s="34" t="str">
        <f t="shared" si="11"/>
        <v/>
      </c>
      <c r="R170" t="s">
        <v>153</v>
      </c>
      <c r="S170" s="1" t="str">
        <f t="shared" si="13"/>
        <v/>
      </c>
      <c r="T170" s="1"/>
      <c r="U170" s="35" t="str">
        <f t="shared" si="12"/>
        <v/>
      </c>
    </row>
    <row r="171" spans="12:21" x14ac:dyDescent="0.25">
      <c r="L171" s="26">
        <v>168</v>
      </c>
      <c r="M171" t="s">
        <v>152</v>
      </c>
      <c r="N171" s="1" t="str">
        <f t="shared" si="10"/>
        <v/>
      </c>
      <c r="O171" s="31"/>
      <c r="P171" s="34" t="str">
        <f t="shared" si="11"/>
        <v/>
      </c>
      <c r="R171" t="s">
        <v>152</v>
      </c>
      <c r="S171" s="1" t="str">
        <f t="shared" si="13"/>
        <v/>
      </c>
      <c r="T171" s="1"/>
      <c r="U171" s="35" t="str">
        <f t="shared" si="12"/>
        <v/>
      </c>
    </row>
    <row r="172" spans="12:21" x14ac:dyDescent="0.25">
      <c r="L172" s="26">
        <v>169</v>
      </c>
      <c r="M172" t="s">
        <v>151</v>
      </c>
      <c r="N172" s="1" t="str">
        <f t="shared" si="10"/>
        <v/>
      </c>
      <c r="O172" s="31"/>
      <c r="P172" s="34" t="str">
        <f t="shared" si="11"/>
        <v/>
      </c>
      <c r="R172" t="s">
        <v>151</v>
      </c>
      <c r="S172" s="1" t="str">
        <f t="shared" si="13"/>
        <v/>
      </c>
      <c r="T172" s="1"/>
      <c r="U172" s="35" t="str">
        <f t="shared" si="12"/>
        <v/>
      </c>
    </row>
    <row r="173" spans="12:21" x14ac:dyDescent="0.25">
      <c r="L173" s="26">
        <v>170</v>
      </c>
      <c r="M173" t="s">
        <v>150</v>
      </c>
      <c r="N173" s="1" t="str">
        <f t="shared" si="10"/>
        <v/>
      </c>
      <c r="O173" s="31"/>
      <c r="P173" s="34" t="str">
        <f t="shared" si="11"/>
        <v/>
      </c>
      <c r="R173" t="s">
        <v>150</v>
      </c>
      <c r="S173" s="1" t="str">
        <f t="shared" si="13"/>
        <v/>
      </c>
      <c r="T173" s="1"/>
      <c r="U173" s="35" t="str">
        <f t="shared" si="12"/>
        <v/>
      </c>
    </row>
    <row r="174" spans="12:21" x14ac:dyDescent="0.25">
      <c r="L174" s="26">
        <v>171</v>
      </c>
      <c r="M174" t="s">
        <v>149</v>
      </c>
      <c r="N174" s="1" t="str">
        <f t="shared" si="10"/>
        <v/>
      </c>
      <c r="O174" s="31"/>
      <c r="P174" s="34" t="str">
        <f t="shared" si="11"/>
        <v/>
      </c>
      <c r="R174" t="s">
        <v>149</v>
      </c>
      <c r="S174" s="1" t="str">
        <f t="shared" si="13"/>
        <v/>
      </c>
      <c r="T174" s="1"/>
      <c r="U174" s="35" t="str">
        <f t="shared" si="12"/>
        <v/>
      </c>
    </row>
    <row r="175" spans="12:21" x14ac:dyDescent="0.25">
      <c r="L175" s="26">
        <v>172</v>
      </c>
      <c r="M175" t="s">
        <v>148</v>
      </c>
      <c r="N175" s="1" t="str">
        <f t="shared" si="10"/>
        <v/>
      </c>
      <c r="O175" s="31"/>
      <c r="P175" s="34" t="str">
        <f t="shared" si="11"/>
        <v/>
      </c>
      <c r="R175" t="s">
        <v>148</v>
      </c>
      <c r="S175" s="1" t="str">
        <f t="shared" si="13"/>
        <v/>
      </c>
      <c r="T175" s="1"/>
      <c r="U175" s="35" t="str">
        <f t="shared" si="12"/>
        <v/>
      </c>
    </row>
    <row r="176" spans="12:21" x14ac:dyDescent="0.25">
      <c r="L176" s="26">
        <v>173</v>
      </c>
      <c r="M176" t="s">
        <v>147</v>
      </c>
      <c r="N176" s="1" t="str">
        <f t="shared" si="10"/>
        <v/>
      </c>
      <c r="O176" s="31"/>
      <c r="P176" s="34" t="str">
        <f t="shared" si="11"/>
        <v/>
      </c>
      <c r="R176" t="s">
        <v>147</v>
      </c>
      <c r="S176" s="1" t="str">
        <f t="shared" si="13"/>
        <v/>
      </c>
      <c r="T176" s="1"/>
      <c r="U176" s="35" t="str">
        <f t="shared" si="12"/>
        <v/>
      </c>
    </row>
    <row r="177" spans="12:21" x14ac:dyDescent="0.25">
      <c r="L177" s="26">
        <v>174</v>
      </c>
      <c r="M177" t="s">
        <v>146</v>
      </c>
      <c r="N177" s="1" t="str">
        <f t="shared" si="10"/>
        <v/>
      </c>
      <c r="O177" s="31"/>
      <c r="P177" s="34" t="str">
        <f t="shared" si="11"/>
        <v/>
      </c>
      <c r="R177" t="s">
        <v>146</v>
      </c>
      <c r="S177" s="1" t="str">
        <f t="shared" si="13"/>
        <v/>
      </c>
      <c r="T177" s="1"/>
      <c r="U177" s="35" t="str">
        <f t="shared" si="12"/>
        <v/>
      </c>
    </row>
    <row r="178" spans="12:21" x14ac:dyDescent="0.25">
      <c r="L178" s="26">
        <v>175</v>
      </c>
      <c r="M178" t="s">
        <v>145</v>
      </c>
      <c r="N178" s="1" t="str">
        <f t="shared" si="10"/>
        <v/>
      </c>
      <c r="O178" s="31"/>
      <c r="P178" s="34" t="str">
        <f t="shared" si="11"/>
        <v/>
      </c>
      <c r="R178" t="s">
        <v>145</v>
      </c>
      <c r="S178" s="1" t="str">
        <f t="shared" si="13"/>
        <v/>
      </c>
      <c r="T178" s="1"/>
      <c r="U178" s="35" t="str">
        <f t="shared" si="12"/>
        <v/>
      </c>
    </row>
    <row r="179" spans="12:21" x14ac:dyDescent="0.25">
      <c r="L179" s="26">
        <v>176</v>
      </c>
      <c r="M179" t="s">
        <v>144</v>
      </c>
      <c r="N179" s="1" t="str">
        <f t="shared" si="10"/>
        <v/>
      </c>
      <c r="O179" s="31"/>
      <c r="P179" s="34" t="str">
        <f t="shared" si="11"/>
        <v/>
      </c>
      <c r="R179" t="s">
        <v>144</v>
      </c>
      <c r="S179" s="1" t="str">
        <f t="shared" si="13"/>
        <v/>
      </c>
      <c r="T179" s="1"/>
      <c r="U179" s="35" t="str">
        <f t="shared" si="12"/>
        <v/>
      </c>
    </row>
    <row r="180" spans="12:21" x14ac:dyDescent="0.25">
      <c r="L180" s="26">
        <v>177</v>
      </c>
      <c r="M180" t="s">
        <v>143</v>
      </c>
      <c r="N180" s="1" t="str">
        <f t="shared" si="10"/>
        <v/>
      </c>
      <c r="O180" s="31"/>
      <c r="P180" s="34" t="str">
        <f t="shared" si="11"/>
        <v/>
      </c>
      <c r="R180" t="s">
        <v>143</v>
      </c>
      <c r="S180" s="1" t="str">
        <f t="shared" si="13"/>
        <v/>
      </c>
      <c r="T180" s="1"/>
      <c r="U180" s="35" t="str">
        <f t="shared" si="12"/>
        <v/>
      </c>
    </row>
    <row r="181" spans="12:21" x14ac:dyDescent="0.25">
      <c r="L181" s="26">
        <v>178</v>
      </c>
      <c r="M181" t="s">
        <v>142</v>
      </c>
      <c r="N181" s="1" t="str">
        <f t="shared" si="10"/>
        <v/>
      </c>
      <c r="O181" s="31"/>
      <c r="P181" s="34" t="str">
        <f t="shared" si="11"/>
        <v/>
      </c>
      <c r="R181" t="s">
        <v>142</v>
      </c>
      <c r="S181" s="1" t="str">
        <f t="shared" si="13"/>
        <v/>
      </c>
      <c r="T181" s="1"/>
      <c r="U181" s="35" t="str">
        <f t="shared" si="12"/>
        <v/>
      </c>
    </row>
    <row r="182" spans="12:21" x14ac:dyDescent="0.25">
      <c r="L182" s="26">
        <v>179</v>
      </c>
      <c r="M182" t="s">
        <v>141</v>
      </c>
      <c r="N182" s="1" t="str">
        <f t="shared" si="10"/>
        <v/>
      </c>
      <c r="O182" s="31"/>
      <c r="P182" s="34" t="str">
        <f t="shared" si="11"/>
        <v/>
      </c>
      <c r="R182" t="s">
        <v>141</v>
      </c>
      <c r="S182" s="1" t="str">
        <f t="shared" si="13"/>
        <v/>
      </c>
      <c r="T182" s="1"/>
      <c r="U182" s="35" t="str">
        <f t="shared" si="12"/>
        <v/>
      </c>
    </row>
    <row r="183" spans="12:21" x14ac:dyDescent="0.25">
      <c r="L183" s="26">
        <v>180</v>
      </c>
      <c r="M183" t="s">
        <v>140</v>
      </c>
      <c r="N183" s="1" t="str">
        <f t="shared" si="10"/>
        <v/>
      </c>
      <c r="O183" s="31"/>
      <c r="P183" s="34" t="str">
        <f t="shared" si="11"/>
        <v/>
      </c>
      <c r="R183" t="s">
        <v>140</v>
      </c>
      <c r="S183" s="1" t="str">
        <f t="shared" si="13"/>
        <v/>
      </c>
      <c r="T183" s="1"/>
      <c r="U183" s="35" t="str">
        <f t="shared" si="12"/>
        <v/>
      </c>
    </row>
    <row r="184" spans="12:21" x14ac:dyDescent="0.25">
      <c r="L184" s="26">
        <v>181</v>
      </c>
      <c r="M184" t="s">
        <v>139</v>
      </c>
      <c r="N184" s="1" t="str">
        <f t="shared" si="10"/>
        <v/>
      </c>
      <c r="O184" s="31"/>
      <c r="P184" s="34" t="str">
        <f t="shared" si="11"/>
        <v/>
      </c>
      <c r="R184" t="s">
        <v>139</v>
      </c>
      <c r="S184" s="1" t="str">
        <f t="shared" si="13"/>
        <v/>
      </c>
      <c r="T184" s="1"/>
      <c r="U184" s="35" t="str">
        <f t="shared" si="12"/>
        <v/>
      </c>
    </row>
    <row r="185" spans="12:21" x14ac:dyDescent="0.25">
      <c r="L185" s="26">
        <v>182</v>
      </c>
      <c r="M185" t="s">
        <v>138</v>
      </c>
      <c r="N185" s="1" t="str">
        <f t="shared" si="10"/>
        <v/>
      </c>
      <c r="O185" s="31"/>
      <c r="P185" s="34" t="str">
        <f t="shared" si="11"/>
        <v/>
      </c>
      <c r="R185" t="s">
        <v>138</v>
      </c>
      <c r="S185" s="1" t="str">
        <f t="shared" si="13"/>
        <v/>
      </c>
      <c r="T185" s="1"/>
      <c r="U185" s="35" t="str">
        <f t="shared" si="12"/>
        <v/>
      </c>
    </row>
    <row r="186" spans="12:21" x14ac:dyDescent="0.25">
      <c r="L186" s="26">
        <v>183</v>
      </c>
      <c r="M186" t="s">
        <v>137</v>
      </c>
      <c r="N186" s="1" t="str">
        <f t="shared" si="10"/>
        <v/>
      </c>
      <c r="O186" s="31"/>
      <c r="P186" s="34" t="str">
        <f t="shared" si="11"/>
        <v/>
      </c>
      <c r="R186" t="s">
        <v>137</v>
      </c>
      <c r="S186" s="1" t="str">
        <f t="shared" si="13"/>
        <v/>
      </c>
      <c r="T186" s="1"/>
      <c r="U186" s="35" t="str">
        <f t="shared" si="12"/>
        <v/>
      </c>
    </row>
    <row r="187" spans="12:21" x14ac:dyDescent="0.25">
      <c r="L187" s="26">
        <v>184</v>
      </c>
      <c r="M187" t="s">
        <v>136</v>
      </c>
      <c r="N187" s="1" t="str">
        <f t="shared" si="10"/>
        <v/>
      </c>
      <c r="O187" s="31"/>
      <c r="P187" s="34" t="str">
        <f t="shared" si="11"/>
        <v/>
      </c>
      <c r="R187" t="s">
        <v>136</v>
      </c>
      <c r="S187" s="1" t="str">
        <f t="shared" si="13"/>
        <v/>
      </c>
      <c r="T187" s="1"/>
      <c r="U187" s="35" t="str">
        <f t="shared" si="12"/>
        <v/>
      </c>
    </row>
    <row r="188" spans="12:21" x14ac:dyDescent="0.25">
      <c r="L188" s="26">
        <v>185</v>
      </c>
      <c r="M188" t="s">
        <v>135</v>
      </c>
      <c r="N188" s="1" t="str">
        <f t="shared" si="10"/>
        <v/>
      </c>
      <c r="O188" s="31"/>
      <c r="P188" s="34" t="str">
        <f t="shared" si="11"/>
        <v/>
      </c>
      <c r="R188" t="s">
        <v>135</v>
      </c>
      <c r="S188" s="1" t="str">
        <f t="shared" si="13"/>
        <v/>
      </c>
      <c r="T188" s="1"/>
      <c r="U188" s="35" t="str">
        <f t="shared" si="12"/>
        <v/>
      </c>
    </row>
    <row r="189" spans="12:21" x14ac:dyDescent="0.25">
      <c r="L189" s="26">
        <v>186</v>
      </c>
      <c r="M189" t="s">
        <v>134</v>
      </c>
      <c r="N189" s="1" t="str">
        <f t="shared" si="10"/>
        <v/>
      </c>
      <c r="O189" s="31"/>
      <c r="P189" s="34" t="str">
        <f t="shared" si="11"/>
        <v/>
      </c>
      <c r="R189" t="s">
        <v>134</v>
      </c>
      <c r="S189" s="1" t="str">
        <f t="shared" si="13"/>
        <v/>
      </c>
      <c r="T189" s="1"/>
      <c r="U189" s="35" t="str">
        <f t="shared" si="12"/>
        <v/>
      </c>
    </row>
    <row r="190" spans="12:21" x14ac:dyDescent="0.25">
      <c r="L190" s="26">
        <v>187</v>
      </c>
      <c r="M190" t="s">
        <v>133</v>
      </c>
      <c r="N190" s="1" t="str">
        <f t="shared" si="10"/>
        <v/>
      </c>
      <c r="O190" s="31"/>
      <c r="P190" s="34" t="str">
        <f t="shared" si="11"/>
        <v/>
      </c>
      <c r="R190" t="s">
        <v>133</v>
      </c>
      <c r="S190" s="1" t="str">
        <f t="shared" si="13"/>
        <v/>
      </c>
      <c r="T190" s="1"/>
      <c r="U190" s="35" t="str">
        <f t="shared" si="12"/>
        <v/>
      </c>
    </row>
    <row r="191" spans="12:21" x14ac:dyDescent="0.25">
      <c r="L191" s="26">
        <v>188</v>
      </c>
      <c r="M191" t="s">
        <v>132</v>
      </c>
      <c r="N191" s="1" t="str">
        <f t="shared" si="10"/>
        <v/>
      </c>
      <c r="O191" s="31"/>
      <c r="P191" s="34" t="str">
        <f t="shared" si="11"/>
        <v/>
      </c>
      <c r="R191" t="s">
        <v>132</v>
      </c>
      <c r="S191" s="1" t="str">
        <f t="shared" si="13"/>
        <v/>
      </c>
      <c r="T191" s="1"/>
      <c r="U191" s="35" t="str">
        <f t="shared" si="12"/>
        <v/>
      </c>
    </row>
    <row r="192" spans="12:21" x14ac:dyDescent="0.25">
      <c r="L192" s="26">
        <v>189</v>
      </c>
      <c r="M192" t="s">
        <v>131</v>
      </c>
      <c r="N192" s="1" t="str">
        <f t="shared" si="10"/>
        <v/>
      </c>
      <c r="O192" s="31"/>
      <c r="P192" s="34" t="str">
        <f t="shared" si="11"/>
        <v/>
      </c>
      <c r="R192" t="s">
        <v>131</v>
      </c>
      <c r="S192" s="1" t="str">
        <f t="shared" si="13"/>
        <v/>
      </c>
      <c r="T192" s="1"/>
      <c r="U192" s="35" t="str">
        <f t="shared" si="12"/>
        <v/>
      </c>
    </row>
    <row r="193" spans="12:21" x14ac:dyDescent="0.25">
      <c r="L193" s="26">
        <v>190</v>
      </c>
      <c r="M193" t="s">
        <v>130</v>
      </c>
      <c r="N193" s="1" t="str">
        <f t="shared" si="10"/>
        <v/>
      </c>
      <c r="O193" s="31"/>
      <c r="P193" s="34" t="str">
        <f t="shared" si="11"/>
        <v/>
      </c>
      <c r="R193" t="s">
        <v>130</v>
      </c>
      <c r="S193" s="1" t="str">
        <f t="shared" si="13"/>
        <v/>
      </c>
      <c r="T193" s="1"/>
      <c r="U193" s="35" t="str">
        <f t="shared" si="12"/>
        <v/>
      </c>
    </row>
    <row r="194" spans="12:21" x14ac:dyDescent="0.25">
      <c r="L194" s="26">
        <v>191</v>
      </c>
      <c r="M194" t="s">
        <v>129</v>
      </c>
      <c r="N194" s="1" t="str">
        <f t="shared" si="10"/>
        <v/>
      </c>
      <c r="O194" s="31"/>
      <c r="P194" s="34" t="str">
        <f t="shared" si="11"/>
        <v/>
      </c>
      <c r="R194" t="s">
        <v>129</v>
      </c>
      <c r="S194" s="1" t="str">
        <f t="shared" si="13"/>
        <v/>
      </c>
      <c r="T194" s="1"/>
      <c r="U194" s="35" t="str">
        <f t="shared" si="12"/>
        <v/>
      </c>
    </row>
    <row r="195" spans="12:21" x14ac:dyDescent="0.25">
      <c r="L195" s="26">
        <v>192</v>
      </c>
      <c r="M195" t="s">
        <v>128</v>
      </c>
      <c r="N195" s="1" t="str">
        <f t="shared" si="10"/>
        <v/>
      </c>
      <c r="O195" s="31"/>
      <c r="P195" s="34" t="str">
        <f t="shared" si="11"/>
        <v/>
      </c>
      <c r="R195" t="s">
        <v>128</v>
      </c>
      <c r="S195" s="1" t="str">
        <f t="shared" si="13"/>
        <v/>
      </c>
      <c r="T195" s="1"/>
      <c r="U195" s="35" t="str">
        <f t="shared" si="12"/>
        <v/>
      </c>
    </row>
    <row r="196" spans="12:21" x14ac:dyDescent="0.25">
      <c r="L196" s="26">
        <v>193</v>
      </c>
      <c r="M196" t="s">
        <v>127</v>
      </c>
      <c r="N196" s="1" t="str">
        <f t="shared" si="10"/>
        <v/>
      </c>
      <c r="O196" s="31"/>
      <c r="P196" s="34" t="str">
        <f t="shared" si="11"/>
        <v/>
      </c>
      <c r="R196" t="s">
        <v>127</v>
      </c>
      <c r="S196" s="1" t="str">
        <f t="shared" si="13"/>
        <v/>
      </c>
      <c r="T196" s="1"/>
      <c r="U196" s="35" t="str">
        <f t="shared" si="12"/>
        <v/>
      </c>
    </row>
    <row r="197" spans="12:21" x14ac:dyDescent="0.25">
      <c r="L197" s="26">
        <v>194</v>
      </c>
      <c r="M197" t="s">
        <v>126</v>
      </c>
      <c r="N197" s="1" t="str">
        <f t="shared" ref="N197:N252" si="14">IF(L197&gt;$I$2,"",F197/$D$3-1)</f>
        <v/>
      </c>
      <c r="O197" s="31"/>
      <c r="P197" s="34" t="str">
        <f t="shared" ref="P197:P253" si="15">IF(AND(L197&lt;=$I$2,N197&lt;= -0.1),1,"")</f>
        <v/>
      </c>
      <c r="R197" t="s">
        <v>126</v>
      </c>
      <c r="S197" s="1" t="str">
        <f t="shared" si="13"/>
        <v/>
      </c>
      <c r="T197" s="1"/>
      <c r="U197" s="35" t="str">
        <f t="shared" ref="U197:U253" si="16">IF(AND(L197&lt;=$I$2,S197&gt;=0.2),1,"")</f>
        <v/>
      </c>
    </row>
    <row r="198" spans="12:21" x14ac:dyDescent="0.25">
      <c r="L198" s="26">
        <v>195</v>
      </c>
      <c r="M198" t="s">
        <v>125</v>
      </c>
      <c r="N198" s="1" t="str">
        <f t="shared" si="14"/>
        <v/>
      </c>
      <c r="O198" s="31"/>
      <c r="P198" s="34" t="str">
        <f t="shared" si="15"/>
        <v/>
      </c>
      <c r="R198" t="s">
        <v>125</v>
      </c>
      <c r="S198" s="1" t="str">
        <f t="shared" si="13"/>
        <v/>
      </c>
      <c r="T198" s="1"/>
      <c r="U198" s="35" t="str">
        <f t="shared" si="16"/>
        <v/>
      </c>
    </row>
    <row r="199" spans="12:21" x14ac:dyDescent="0.25">
      <c r="L199" s="26">
        <v>196</v>
      </c>
      <c r="M199" t="s">
        <v>124</v>
      </c>
      <c r="N199" s="1" t="str">
        <f t="shared" si="14"/>
        <v/>
      </c>
      <c r="O199" s="31"/>
      <c r="P199" s="34" t="str">
        <f t="shared" si="15"/>
        <v/>
      </c>
      <c r="R199" t="s">
        <v>124</v>
      </c>
      <c r="S199" s="1" t="str">
        <f t="shared" si="13"/>
        <v/>
      </c>
      <c r="T199" s="1"/>
      <c r="U199" s="35" t="str">
        <f t="shared" si="16"/>
        <v/>
      </c>
    </row>
    <row r="200" spans="12:21" x14ac:dyDescent="0.25">
      <c r="L200" s="26">
        <v>197</v>
      </c>
      <c r="M200" t="s">
        <v>123</v>
      </c>
      <c r="N200" s="1" t="str">
        <f t="shared" si="14"/>
        <v/>
      </c>
      <c r="O200" s="31"/>
      <c r="P200" s="34" t="str">
        <f t="shared" si="15"/>
        <v/>
      </c>
      <c r="R200" t="s">
        <v>123</v>
      </c>
      <c r="S200" s="1" t="str">
        <f t="shared" si="13"/>
        <v/>
      </c>
      <c r="T200" s="1"/>
      <c r="U200" s="35" t="str">
        <f t="shared" si="16"/>
        <v/>
      </c>
    </row>
    <row r="201" spans="12:21" x14ac:dyDescent="0.25">
      <c r="L201" s="26">
        <v>198</v>
      </c>
      <c r="M201" t="s">
        <v>122</v>
      </c>
      <c r="N201" s="1" t="str">
        <f t="shared" si="14"/>
        <v/>
      </c>
      <c r="O201" s="31"/>
      <c r="P201" s="34" t="str">
        <f t="shared" si="15"/>
        <v/>
      </c>
      <c r="R201" t="s">
        <v>122</v>
      </c>
      <c r="S201" s="1" t="str">
        <f t="shared" si="13"/>
        <v/>
      </c>
      <c r="T201" s="1"/>
      <c r="U201" s="35" t="str">
        <f t="shared" si="16"/>
        <v/>
      </c>
    </row>
    <row r="202" spans="12:21" x14ac:dyDescent="0.25">
      <c r="L202" s="26">
        <v>199</v>
      </c>
      <c r="M202" t="s">
        <v>121</v>
      </c>
      <c r="N202" s="1" t="str">
        <f t="shared" si="14"/>
        <v/>
      </c>
      <c r="O202" s="31"/>
      <c r="P202" s="34" t="str">
        <f t="shared" si="15"/>
        <v/>
      </c>
      <c r="R202" t="s">
        <v>121</v>
      </c>
      <c r="S202" s="1" t="str">
        <f t="shared" si="13"/>
        <v/>
      </c>
      <c r="T202" s="1"/>
      <c r="U202" s="35" t="str">
        <f t="shared" si="16"/>
        <v/>
      </c>
    </row>
    <row r="203" spans="12:21" x14ac:dyDescent="0.25">
      <c r="L203" s="26">
        <v>200</v>
      </c>
      <c r="M203" t="s">
        <v>120</v>
      </c>
      <c r="N203" s="1" t="str">
        <f t="shared" si="14"/>
        <v/>
      </c>
      <c r="O203" s="31"/>
      <c r="P203" s="34" t="str">
        <f t="shared" si="15"/>
        <v/>
      </c>
      <c r="R203" t="s">
        <v>120</v>
      </c>
      <c r="S203" s="1" t="str">
        <f t="shared" si="13"/>
        <v/>
      </c>
      <c r="T203" s="1"/>
      <c r="U203" s="35" t="str">
        <f t="shared" si="16"/>
        <v/>
      </c>
    </row>
    <row r="204" spans="12:21" x14ac:dyDescent="0.25">
      <c r="L204" s="26">
        <v>201</v>
      </c>
      <c r="M204" t="s">
        <v>119</v>
      </c>
      <c r="N204" s="1" t="str">
        <f t="shared" si="14"/>
        <v/>
      </c>
      <c r="O204" s="31"/>
      <c r="P204" s="34" t="str">
        <f t="shared" si="15"/>
        <v/>
      </c>
      <c r="R204" t="s">
        <v>119</v>
      </c>
      <c r="S204" s="1" t="str">
        <f t="shared" si="13"/>
        <v/>
      </c>
      <c r="T204" s="1"/>
      <c r="U204" s="35" t="str">
        <f t="shared" si="16"/>
        <v/>
      </c>
    </row>
    <row r="205" spans="12:21" x14ac:dyDescent="0.25">
      <c r="L205" s="26">
        <v>202</v>
      </c>
      <c r="M205" t="s">
        <v>118</v>
      </c>
      <c r="N205" s="1" t="str">
        <f t="shared" si="14"/>
        <v/>
      </c>
      <c r="O205" s="31"/>
      <c r="P205" s="34" t="str">
        <f t="shared" si="15"/>
        <v/>
      </c>
      <c r="R205" t="s">
        <v>118</v>
      </c>
      <c r="S205" s="1" t="str">
        <f t="shared" si="13"/>
        <v/>
      </c>
      <c r="T205" s="1"/>
      <c r="U205" s="35" t="str">
        <f t="shared" si="16"/>
        <v/>
      </c>
    </row>
    <row r="206" spans="12:21" x14ac:dyDescent="0.25">
      <c r="L206" s="26">
        <v>203</v>
      </c>
      <c r="M206" t="s">
        <v>117</v>
      </c>
      <c r="N206" s="1" t="str">
        <f t="shared" si="14"/>
        <v/>
      </c>
      <c r="O206" s="31"/>
      <c r="P206" s="34" t="str">
        <f t="shared" si="15"/>
        <v/>
      </c>
      <c r="R206" t="s">
        <v>117</v>
      </c>
      <c r="S206" s="1" t="str">
        <f t="shared" si="13"/>
        <v/>
      </c>
      <c r="T206" s="1"/>
      <c r="U206" s="35" t="str">
        <f t="shared" si="16"/>
        <v/>
      </c>
    </row>
    <row r="207" spans="12:21" x14ac:dyDescent="0.25">
      <c r="L207" s="26">
        <v>204</v>
      </c>
      <c r="M207" t="s">
        <v>116</v>
      </c>
      <c r="N207" s="1" t="str">
        <f t="shared" si="14"/>
        <v/>
      </c>
      <c r="O207" s="31"/>
      <c r="P207" s="34" t="str">
        <f t="shared" si="15"/>
        <v/>
      </c>
      <c r="R207" t="s">
        <v>116</v>
      </c>
      <c r="S207" s="1" t="str">
        <f t="shared" si="13"/>
        <v/>
      </c>
      <c r="T207" s="1"/>
      <c r="U207" s="35" t="str">
        <f t="shared" si="16"/>
        <v/>
      </c>
    </row>
    <row r="208" spans="12:21" x14ac:dyDescent="0.25">
      <c r="L208" s="26">
        <v>205</v>
      </c>
      <c r="M208" t="s">
        <v>115</v>
      </c>
      <c r="N208" s="1" t="str">
        <f t="shared" si="14"/>
        <v/>
      </c>
      <c r="O208" s="31"/>
      <c r="P208" s="34" t="str">
        <f t="shared" si="15"/>
        <v/>
      </c>
      <c r="R208" t="s">
        <v>115</v>
      </c>
      <c r="S208" s="1" t="str">
        <f t="shared" si="13"/>
        <v/>
      </c>
      <c r="T208" s="1"/>
      <c r="U208" s="35" t="str">
        <f t="shared" si="16"/>
        <v/>
      </c>
    </row>
    <row r="209" spans="12:21" x14ac:dyDescent="0.25">
      <c r="L209" s="26">
        <v>206</v>
      </c>
      <c r="M209" t="s">
        <v>114</v>
      </c>
      <c r="N209" s="1" t="str">
        <f t="shared" si="14"/>
        <v/>
      </c>
      <c r="O209" s="31"/>
      <c r="P209" s="34" t="str">
        <f t="shared" si="15"/>
        <v/>
      </c>
      <c r="R209" t="s">
        <v>114</v>
      </c>
      <c r="S209" s="1" t="str">
        <f t="shared" si="13"/>
        <v/>
      </c>
      <c r="T209" s="1"/>
      <c r="U209" s="35" t="str">
        <f t="shared" si="16"/>
        <v/>
      </c>
    </row>
    <row r="210" spans="12:21" x14ac:dyDescent="0.25">
      <c r="L210" s="26">
        <v>207</v>
      </c>
      <c r="M210" t="s">
        <v>113</v>
      </c>
      <c r="N210" s="1" t="str">
        <f t="shared" si="14"/>
        <v/>
      </c>
      <c r="O210" s="31"/>
      <c r="P210" s="34" t="str">
        <f t="shared" si="15"/>
        <v/>
      </c>
      <c r="R210" t="s">
        <v>113</v>
      </c>
      <c r="S210" s="1" t="str">
        <f t="shared" si="13"/>
        <v/>
      </c>
      <c r="T210" s="1"/>
      <c r="U210" s="35" t="str">
        <f t="shared" si="16"/>
        <v/>
      </c>
    </row>
    <row r="211" spans="12:21" x14ac:dyDescent="0.25">
      <c r="L211" s="26">
        <v>208</v>
      </c>
      <c r="M211" t="s">
        <v>112</v>
      </c>
      <c r="N211" s="1" t="str">
        <f t="shared" si="14"/>
        <v/>
      </c>
      <c r="O211" s="31"/>
      <c r="P211" s="34" t="str">
        <f t="shared" si="15"/>
        <v/>
      </c>
      <c r="R211" t="s">
        <v>112</v>
      </c>
      <c r="S211" s="1" t="str">
        <f t="shared" si="13"/>
        <v/>
      </c>
      <c r="T211" s="1"/>
      <c r="U211" s="35" t="str">
        <f t="shared" si="16"/>
        <v/>
      </c>
    </row>
    <row r="212" spans="12:21" x14ac:dyDescent="0.25">
      <c r="L212" s="26">
        <v>209</v>
      </c>
      <c r="M212" t="s">
        <v>111</v>
      </c>
      <c r="N212" s="1" t="str">
        <f t="shared" si="14"/>
        <v/>
      </c>
      <c r="O212" s="31"/>
      <c r="P212" s="34" t="str">
        <f t="shared" si="15"/>
        <v/>
      </c>
      <c r="R212" t="s">
        <v>111</v>
      </c>
      <c r="S212" s="1" t="str">
        <f t="shared" si="13"/>
        <v/>
      </c>
      <c r="T212" s="1"/>
      <c r="U212" s="35" t="str">
        <f t="shared" si="16"/>
        <v/>
      </c>
    </row>
    <row r="213" spans="12:21" x14ac:dyDescent="0.25">
      <c r="L213" s="26">
        <v>210</v>
      </c>
      <c r="M213" t="s">
        <v>110</v>
      </c>
      <c r="N213" s="1" t="str">
        <f t="shared" si="14"/>
        <v/>
      </c>
      <c r="O213" s="31"/>
      <c r="P213" s="34" t="str">
        <f t="shared" si="15"/>
        <v/>
      </c>
      <c r="R213" t="s">
        <v>110</v>
      </c>
      <c r="S213" s="1" t="str">
        <f t="shared" si="13"/>
        <v/>
      </c>
      <c r="T213" s="1"/>
      <c r="U213" s="35" t="str">
        <f t="shared" si="16"/>
        <v/>
      </c>
    </row>
    <row r="214" spans="12:21" x14ac:dyDescent="0.25">
      <c r="L214" s="26">
        <v>211</v>
      </c>
      <c r="M214" t="s">
        <v>109</v>
      </c>
      <c r="N214" s="1" t="str">
        <f t="shared" si="14"/>
        <v/>
      </c>
      <c r="O214" s="31"/>
      <c r="P214" s="34" t="str">
        <f t="shared" si="15"/>
        <v/>
      </c>
      <c r="R214" t="s">
        <v>109</v>
      </c>
      <c r="S214" s="1" t="str">
        <f t="shared" si="13"/>
        <v/>
      </c>
      <c r="T214" s="1"/>
      <c r="U214" s="35" t="str">
        <f t="shared" si="16"/>
        <v/>
      </c>
    </row>
    <row r="215" spans="12:21" x14ac:dyDescent="0.25">
      <c r="L215" s="26">
        <v>212</v>
      </c>
      <c r="M215" t="s">
        <v>108</v>
      </c>
      <c r="N215" s="1" t="str">
        <f t="shared" si="14"/>
        <v/>
      </c>
      <c r="O215" s="31"/>
      <c r="P215" s="34" t="str">
        <f t="shared" si="15"/>
        <v/>
      </c>
      <c r="R215" t="s">
        <v>108</v>
      </c>
      <c r="S215" s="1" t="str">
        <f t="shared" si="13"/>
        <v/>
      </c>
      <c r="T215" s="1"/>
      <c r="U215" s="35" t="str">
        <f t="shared" si="16"/>
        <v/>
      </c>
    </row>
    <row r="216" spans="12:21" x14ac:dyDescent="0.25">
      <c r="L216" s="26">
        <v>213</v>
      </c>
      <c r="M216" t="s">
        <v>107</v>
      </c>
      <c r="N216" s="1" t="str">
        <f t="shared" si="14"/>
        <v/>
      </c>
      <c r="O216" s="31"/>
      <c r="P216" s="34" t="str">
        <f t="shared" si="15"/>
        <v/>
      </c>
      <c r="R216" t="s">
        <v>107</v>
      </c>
      <c r="S216" s="1" t="str">
        <f t="shared" ref="S216:S252" si="17">IF(L216&gt;$I$2,"",E216/$D$3-1)</f>
        <v/>
      </c>
      <c r="T216" s="1"/>
      <c r="U216" s="35" t="str">
        <f t="shared" si="16"/>
        <v/>
      </c>
    </row>
    <row r="217" spans="12:21" x14ac:dyDescent="0.25">
      <c r="L217" s="26">
        <v>214</v>
      </c>
      <c r="M217" t="s">
        <v>106</v>
      </c>
      <c r="N217" s="1" t="str">
        <f t="shared" si="14"/>
        <v/>
      </c>
      <c r="O217" s="31"/>
      <c r="P217" s="34" t="str">
        <f t="shared" si="15"/>
        <v/>
      </c>
      <c r="R217" t="s">
        <v>106</v>
      </c>
      <c r="S217" s="1" t="str">
        <f t="shared" si="17"/>
        <v/>
      </c>
      <c r="T217" s="1"/>
      <c r="U217" s="35" t="str">
        <f t="shared" si="16"/>
        <v/>
      </c>
    </row>
    <row r="218" spans="12:21" x14ac:dyDescent="0.25">
      <c r="L218" s="26">
        <v>215</v>
      </c>
      <c r="M218" t="s">
        <v>105</v>
      </c>
      <c r="N218" s="1" t="str">
        <f t="shared" si="14"/>
        <v/>
      </c>
      <c r="O218" s="31"/>
      <c r="P218" s="34" t="str">
        <f t="shared" si="15"/>
        <v/>
      </c>
      <c r="R218" t="s">
        <v>105</v>
      </c>
      <c r="S218" s="1" t="str">
        <f t="shared" si="17"/>
        <v/>
      </c>
      <c r="T218" s="1"/>
      <c r="U218" s="35" t="str">
        <f t="shared" si="16"/>
        <v/>
      </c>
    </row>
    <row r="219" spans="12:21" x14ac:dyDescent="0.25">
      <c r="L219" s="26">
        <v>216</v>
      </c>
      <c r="M219" t="s">
        <v>104</v>
      </c>
      <c r="N219" s="1" t="str">
        <f t="shared" si="14"/>
        <v/>
      </c>
      <c r="O219" s="31"/>
      <c r="P219" s="34" t="str">
        <f t="shared" si="15"/>
        <v/>
      </c>
      <c r="R219" t="s">
        <v>104</v>
      </c>
      <c r="S219" s="1" t="str">
        <f t="shared" si="17"/>
        <v/>
      </c>
      <c r="T219" s="1"/>
      <c r="U219" s="35" t="str">
        <f t="shared" si="16"/>
        <v/>
      </c>
    </row>
    <row r="220" spans="12:21" x14ac:dyDescent="0.25">
      <c r="L220" s="26">
        <v>217</v>
      </c>
      <c r="M220" t="s">
        <v>103</v>
      </c>
      <c r="N220" s="1" t="str">
        <f t="shared" si="14"/>
        <v/>
      </c>
      <c r="O220" s="31"/>
      <c r="P220" s="34" t="str">
        <f t="shared" si="15"/>
        <v/>
      </c>
      <c r="R220" t="s">
        <v>103</v>
      </c>
      <c r="S220" s="1" t="str">
        <f t="shared" si="17"/>
        <v/>
      </c>
      <c r="T220" s="1"/>
      <c r="U220" s="35" t="str">
        <f t="shared" si="16"/>
        <v/>
      </c>
    </row>
    <row r="221" spans="12:21" x14ac:dyDescent="0.25">
      <c r="L221" s="26">
        <v>218</v>
      </c>
      <c r="M221" t="s">
        <v>102</v>
      </c>
      <c r="N221" s="1" t="str">
        <f t="shared" si="14"/>
        <v/>
      </c>
      <c r="O221" s="31"/>
      <c r="P221" s="34" t="str">
        <f t="shared" si="15"/>
        <v/>
      </c>
      <c r="R221" t="s">
        <v>102</v>
      </c>
      <c r="S221" s="1" t="str">
        <f t="shared" si="17"/>
        <v/>
      </c>
      <c r="T221" s="1"/>
      <c r="U221" s="35" t="str">
        <f t="shared" si="16"/>
        <v/>
      </c>
    </row>
    <row r="222" spans="12:21" x14ac:dyDescent="0.25">
      <c r="L222" s="26">
        <v>219</v>
      </c>
      <c r="M222" t="s">
        <v>101</v>
      </c>
      <c r="N222" s="1" t="str">
        <f t="shared" si="14"/>
        <v/>
      </c>
      <c r="O222" s="31"/>
      <c r="P222" s="34" t="str">
        <f t="shared" si="15"/>
        <v/>
      </c>
      <c r="R222" t="s">
        <v>101</v>
      </c>
      <c r="S222" s="1" t="str">
        <f t="shared" si="17"/>
        <v/>
      </c>
      <c r="T222" s="1"/>
      <c r="U222" s="35" t="str">
        <f t="shared" si="16"/>
        <v/>
      </c>
    </row>
    <row r="223" spans="12:21" x14ac:dyDescent="0.25">
      <c r="L223" s="26">
        <v>220</v>
      </c>
      <c r="M223" t="s">
        <v>100</v>
      </c>
      <c r="N223" s="1" t="str">
        <f t="shared" si="14"/>
        <v/>
      </c>
      <c r="O223" s="31"/>
      <c r="P223" s="34" t="str">
        <f t="shared" si="15"/>
        <v/>
      </c>
      <c r="R223" t="s">
        <v>100</v>
      </c>
      <c r="S223" s="1" t="str">
        <f t="shared" si="17"/>
        <v/>
      </c>
      <c r="T223" s="1"/>
      <c r="U223" s="35" t="str">
        <f t="shared" si="16"/>
        <v/>
      </c>
    </row>
    <row r="224" spans="12:21" x14ac:dyDescent="0.25">
      <c r="L224" s="26">
        <v>221</v>
      </c>
      <c r="M224" t="s">
        <v>99</v>
      </c>
      <c r="N224" s="1" t="str">
        <f t="shared" si="14"/>
        <v/>
      </c>
      <c r="O224" s="31"/>
      <c r="P224" s="34" t="str">
        <f t="shared" si="15"/>
        <v/>
      </c>
      <c r="R224" t="s">
        <v>99</v>
      </c>
      <c r="S224" s="1" t="str">
        <f t="shared" si="17"/>
        <v/>
      </c>
      <c r="T224" s="1"/>
      <c r="U224" s="35" t="str">
        <f t="shared" si="16"/>
        <v/>
      </c>
    </row>
    <row r="225" spans="12:21" x14ac:dyDescent="0.25">
      <c r="L225" s="26">
        <v>222</v>
      </c>
      <c r="M225" t="s">
        <v>98</v>
      </c>
      <c r="N225" s="1" t="str">
        <f t="shared" si="14"/>
        <v/>
      </c>
      <c r="O225" s="31"/>
      <c r="P225" s="34" t="str">
        <f t="shared" si="15"/>
        <v/>
      </c>
      <c r="R225" t="s">
        <v>98</v>
      </c>
      <c r="S225" s="1" t="str">
        <f t="shared" si="17"/>
        <v/>
      </c>
      <c r="T225" s="1"/>
      <c r="U225" s="35" t="str">
        <f t="shared" si="16"/>
        <v/>
      </c>
    </row>
    <row r="226" spans="12:21" x14ac:dyDescent="0.25">
      <c r="L226" s="26">
        <v>223</v>
      </c>
      <c r="M226" t="s">
        <v>97</v>
      </c>
      <c r="N226" s="1" t="str">
        <f t="shared" si="14"/>
        <v/>
      </c>
      <c r="O226" s="31"/>
      <c r="P226" s="34" t="str">
        <f t="shared" si="15"/>
        <v/>
      </c>
      <c r="R226" t="s">
        <v>97</v>
      </c>
      <c r="S226" s="1" t="str">
        <f t="shared" si="17"/>
        <v/>
      </c>
      <c r="T226" s="1"/>
      <c r="U226" s="35" t="str">
        <f t="shared" si="16"/>
        <v/>
      </c>
    </row>
    <row r="227" spans="12:21" x14ac:dyDescent="0.25">
      <c r="L227" s="26">
        <v>224</v>
      </c>
      <c r="M227" t="s">
        <v>96</v>
      </c>
      <c r="N227" s="1" t="str">
        <f t="shared" si="14"/>
        <v/>
      </c>
      <c r="O227" s="31"/>
      <c r="P227" s="34" t="str">
        <f t="shared" si="15"/>
        <v/>
      </c>
      <c r="R227" t="s">
        <v>96</v>
      </c>
      <c r="S227" s="1" t="str">
        <f t="shared" si="17"/>
        <v/>
      </c>
      <c r="T227" s="1"/>
      <c r="U227" s="35" t="str">
        <f t="shared" si="16"/>
        <v/>
      </c>
    </row>
    <row r="228" spans="12:21" x14ac:dyDescent="0.25">
      <c r="L228" s="26">
        <v>225</v>
      </c>
      <c r="M228" t="s">
        <v>95</v>
      </c>
      <c r="N228" s="1" t="str">
        <f t="shared" si="14"/>
        <v/>
      </c>
      <c r="O228" s="31"/>
      <c r="P228" s="34" t="str">
        <f t="shared" si="15"/>
        <v/>
      </c>
      <c r="R228" t="s">
        <v>95</v>
      </c>
      <c r="S228" s="1" t="str">
        <f t="shared" si="17"/>
        <v/>
      </c>
      <c r="T228" s="1"/>
      <c r="U228" s="35" t="str">
        <f t="shared" si="16"/>
        <v/>
      </c>
    </row>
    <row r="229" spans="12:21" x14ac:dyDescent="0.25">
      <c r="L229" s="26">
        <v>226</v>
      </c>
      <c r="M229" t="s">
        <v>94</v>
      </c>
      <c r="N229" s="1" t="str">
        <f t="shared" si="14"/>
        <v/>
      </c>
      <c r="O229" s="31"/>
      <c r="P229" s="34" t="str">
        <f t="shared" si="15"/>
        <v/>
      </c>
      <c r="R229" t="s">
        <v>94</v>
      </c>
      <c r="S229" s="1" t="str">
        <f t="shared" si="17"/>
        <v/>
      </c>
      <c r="T229" s="1"/>
      <c r="U229" s="35" t="str">
        <f t="shared" si="16"/>
        <v/>
      </c>
    </row>
    <row r="230" spans="12:21" x14ac:dyDescent="0.25">
      <c r="L230" s="26">
        <v>227</v>
      </c>
      <c r="M230" t="s">
        <v>93</v>
      </c>
      <c r="N230" s="1" t="str">
        <f t="shared" si="14"/>
        <v/>
      </c>
      <c r="O230" s="31"/>
      <c r="P230" s="34" t="str">
        <f t="shared" si="15"/>
        <v/>
      </c>
      <c r="R230" t="s">
        <v>93</v>
      </c>
      <c r="S230" s="1" t="str">
        <f t="shared" si="17"/>
        <v/>
      </c>
      <c r="T230" s="1"/>
      <c r="U230" s="35" t="str">
        <f t="shared" si="16"/>
        <v/>
      </c>
    </row>
    <row r="231" spans="12:21" x14ac:dyDescent="0.25">
      <c r="L231" s="26">
        <v>228</v>
      </c>
      <c r="M231" t="s">
        <v>92</v>
      </c>
      <c r="N231" s="1" t="str">
        <f t="shared" si="14"/>
        <v/>
      </c>
      <c r="O231" s="31"/>
      <c r="P231" s="34" t="str">
        <f t="shared" si="15"/>
        <v/>
      </c>
      <c r="R231" t="s">
        <v>92</v>
      </c>
      <c r="S231" s="1" t="str">
        <f t="shared" si="17"/>
        <v/>
      </c>
      <c r="T231" s="1"/>
      <c r="U231" s="35" t="str">
        <f t="shared" si="16"/>
        <v/>
      </c>
    </row>
    <row r="232" spans="12:21" x14ac:dyDescent="0.25">
      <c r="L232" s="26">
        <v>229</v>
      </c>
      <c r="M232" t="s">
        <v>91</v>
      </c>
      <c r="N232" s="1" t="str">
        <f t="shared" si="14"/>
        <v/>
      </c>
      <c r="O232" s="31"/>
      <c r="P232" s="34" t="str">
        <f t="shared" si="15"/>
        <v/>
      </c>
      <c r="R232" t="s">
        <v>91</v>
      </c>
      <c r="S232" s="1" t="str">
        <f t="shared" si="17"/>
        <v/>
      </c>
      <c r="T232" s="1"/>
      <c r="U232" s="35" t="str">
        <f t="shared" si="16"/>
        <v/>
      </c>
    </row>
    <row r="233" spans="12:21" x14ac:dyDescent="0.25">
      <c r="L233" s="26">
        <v>230</v>
      </c>
      <c r="M233" t="s">
        <v>90</v>
      </c>
      <c r="N233" s="1" t="str">
        <f t="shared" si="14"/>
        <v/>
      </c>
      <c r="O233" s="31"/>
      <c r="P233" s="34" t="str">
        <f t="shared" si="15"/>
        <v/>
      </c>
      <c r="R233" t="s">
        <v>90</v>
      </c>
      <c r="S233" s="1" t="str">
        <f t="shared" si="17"/>
        <v/>
      </c>
      <c r="T233" s="1"/>
      <c r="U233" s="35" t="str">
        <f t="shared" si="16"/>
        <v/>
      </c>
    </row>
    <row r="234" spans="12:21" x14ac:dyDescent="0.25">
      <c r="L234" s="26">
        <v>231</v>
      </c>
      <c r="M234" t="s">
        <v>89</v>
      </c>
      <c r="N234" s="1" t="str">
        <f t="shared" si="14"/>
        <v/>
      </c>
      <c r="O234" s="31"/>
      <c r="P234" s="34" t="str">
        <f t="shared" si="15"/>
        <v/>
      </c>
      <c r="R234" t="s">
        <v>89</v>
      </c>
      <c r="S234" s="1" t="str">
        <f t="shared" si="17"/>
        <v/>
      </c>
      <c r="T234" s="1"/>
      <c r="U234" s="35" t="str">
        <f t="shared" si="16"/>
        <v/>
      </c>
    </row>
    <row r="235" spans="12:21" x14ac:dyDescent="0.25">
      <c r="L235" s="26">
        <v>232</v>
      </c>
      <c r="M235" t="s">
        <v>88</v>
      </c>
      <c r="N235" s="1" t="str">
        <f t="shared" si="14"/>
        <v/>
      </c>
      <c r="O235" s="31"/>
      <c r="P235" s="34" t="str">
        <f t="shared" si="15"/>
        <v/>
      </c>
      <c r="R235" t="s">
        <v>88</v>
      </c>
      <c r="S235" s="1" t="str">
        <f t="shared" si="17"/>
        <v/>
      </c>
      <c r="T235" s="1"/>
      <c r="U235" s="35" t="str">
        <f t="shared" si="16"/>
        <v/>
      </c>
    </row>
    <row r="236" spans="12:21" x14ac:dyDescent="0.25">
      <c r="L236" s="26">
        <v>233</v>
      </c>
      <c r="M236" t="s">
        <v>87</v>
      </c>
      <c r="N236" s="1" t="str">
        <f t="shared" si="14"/>
        <v/>
      </c>
      <c r="O236" s="31"/>
      <c r="P236" s="34" t="str">
        <f t="shared" si="15"/>
        <v/>
      </c>
      <c r="R236" t="s">
        <v>87</v>
      </c>
      <c r="S236" s="1" t="str">
        <f t="shared" si="17"/>
        <v/>
      </c>
      <c r="T236" s="1"/>
      <c r="U236" s="35" t="str">
        <f t="shared" si="16"/>
        <v/>
      </c>
    </row>
    <row r="237" spans="12:21" x14ac:dyDescent="0.25">
      <c r="L237" s="26">
        <v>234</v>
      </c>
      <c r="M237" t="s">
        <v>86</v>
      </c>
      <c r="N237" s="1" t="str">
        <f t="shared" si="14"/>
        <v/>
      </c>
      <c r="O237" s="31"/>
      <c r="P237" s="34" t="str">
        <f t="shared" si="15"/>
        <v/>
      </c>
      <c r="R237" t="s">
        <v>86</v>
      </c>
      <c r="S237" s="1" t="str">
        <f t="shared" si="17"/>
        <v/>
      </c>
      <c r="T237" s="1"/>
      <c r="U237" s="35" t="str">
        <f t="shared" si="16"/>
        <v/>
      </c>
    </row>
    <row r="238" spans="12:21" x14ac:dyDescent="0.25">
      <c r="L238" s="26">
        <v>235</v>
      </c>
      <c r="M238" t="s">
        <v>85</v>
      </c>
      <c r="N238" s="1" t="str">
        <f t="shared" si="14"/>
        <v/>
      </c>
      <c r="O238" s="31"/>
      <c r="P238" s="34" t="str">
        <f t="shared" si="15"/>
        <v/>
      </c>
      <c r="R238" t="s">
        <v>85</v>
      </c>
      <c r="S238" s="1" t="str">
        <f t="shared" si="17"/>
        <v/>
      </c>
      <c r="T238" s="1"/>
      <c r="U238" s="35" t="str">
        <f t="shared" si="16"/>
        <v/>
      </c>
    </row>
    <row r="239" spans="12:21" x14ac:dyDescent="0.25">
      <c r="L239" s="26">
        <v>236</v>
      </c>
      <c r="M239" t="s">
        <v>84</v>
      </c>
      <c r="N239" s="1" t="str">
        <f t="shared" si="14"/>
        <v/>
      </c>
      <c r="O239" s="31"/>
      <c r="P239" s="34" t="str">
        <f t="shared" si="15"/>
        <v/>
      </c>
      <c r="R239" t="s">
        <v>84</v>
      </c>
      <c r="S239" s="1" t="str">
        <f t="shared" si="17"/>
        <v/>
      </c>
      <c r="T239" s="1"/>
      <c r="U239" s="35" t="str">
        <f t="shared" si="16"/>
        <v/>
      </c>
    </row>
    <row r="240" spans="12:21" x14ac:dyDescent="0.25">
      <c r="L240" s="26">
        <v>237</v>
      </c>
      <c r="M240" t="s">
        <v>83</v>
      </c>
      <c r="N240" s="1" t="str">
        <f t="shared" si="14"/>
        <v/>
      </c>
      <c r="O240" s="31"/>
      <c r="P240" s="34" t="str">
        <f t="shared" si="15"/>
        <v/>
      </c>
      <c r="R240" t="s">
        <v>83</v>
      </c>
      <c r="S240" s="1" t="str">
        <f t="shared" si="17"/>
        <v/>
      </c>
      <c r="T240" s="1"/>
      <c r="U240" s="35" t="str">
        <f t="shared" si="16"/>
        <v/>
      </c>
    </row>
    <row r="241" spans="12:21" x14ac:dyDescent="0.25">
      <c r="L241" s="26">
        <v>238</v>
      </c>
      <c r="M241" t="s">
        <v>82</v>
      </c>
      <c r="N241" s="1" t="str">
        <f t="shared" si="14"/>
        <v/>
      </c>
      <c r="O241" s="31"/>
      <c r="P241" s="34" t="str">
        <f t="shared" si="15"/>
        <v/>
      </c>
      <c r="R241" t="s">
        <v>82</v>
      </c>
      <c r="S241" s="1" t="str">
        <f t="shared" si="17"/>
        <v/>
      </c>
      <c r="T241" s="1"/>
      <c r="U241" s="35" t="str">
        <f t="shared" si="16"/>
        <v/>
      </c>
    </row>
    <row r="242" spans="12:21" x14ac:dyDescent="0.25">
      <c r="L242" s="26">
        <v>239</v>
      </c>
      <c r="M242" t="s">
        <v>81</v>
      </c>
      <c r="N242" s="1" t="str">
        <f t="shared" si="14"/>
        <v/>
      </c>
      <c r="O242" s="31"/>
      <c r="P242" s="34" t="str">
        <f t="shared" si="15"/>
        <v/>
      </c>
      <c r="R242" t="s">
        <v>81</v>
      </c>
      <c r="S242" s="1" t="str">
        <f t="shared" si="17"/>
        <v/>
      </c>
      <c r="T242" s="1"/>
      <c r="U242" s="35" t="str">
        <f t="shared" si="16"/>
        <v/>
      </c>
    </row>
    <row r="243" spans="12:21" x14ac:dyDescent="0.25">
      <c r="L243" s="26">
        <v>240</v>
      </c>
      <c r="M243" t="s">
        <v>80</v>
      </c>
      <c r="N243" s="1" t="str">
        <f t="shared" si="14"/>
        <v/>
      </c>
      <c r="O243" s="31"/>
      <c r="P243" s="34" t="str">
        <f t="shared" si="15"/>
        <v/>
      </c>
      <c r="R243" t="s">
        <v>80</v>
      </c>
      <c r="S243" s="1" t="str">
        <f t="shared" si="17"/>
        <v/>
      </c>
      <c r="T243" s="1"/>
      <c r="U243" s="35" t="str">
        <f t="shared" si="16"/>
        <v/>
      </c>
    </row>
    <row r="244" spans="12:21" x14ac:dyDescent="0.25">
      <c r="L244" s="26">
        <v>241</v>
      </c>
      <c r="M244" t="s">
        <v>79</v>
      </c>
      <c r="N244" s="1" t="str">
        <f t="shared" si="14"/>
        <v/>
      </c>
      <c r="O244" s="31"/>
      <c r="P244" s="34" t="str">
        <f t="shared" si="15"/>
        <v/>
      </c>
      <c r="R244" t="s">
        <v>79</v>
      </c>
      <c r="S244" s="1" t="str">
        <f t="shared" si="17"/>
        <v/>
      </c>
      <c r="T244" s="1"/>
      <c r="U244" s="35" t="str">
        <f t="shared" si="16"/>
        <v/>
      </c>
    </row>
    <row r="245" spans="12:21" x14ac:dyDescent="0.25">
      <c r="L245" s="26">
        <v>242</v>
      </c>
      <c r="M245" t="s">
        <v>78</v>
      </c>
      <c r="N245" s="1" t="str">
        <f t="shared" si="14"/>
        <v/>
      </c>
      <c r="O245" s="31"/>
      <c r="P245" s="34" t="str">
        <f t="shared" si="15"/>
        <v/>
      </c>
      <c r="R245" t="s">
        <v>78</v>
      </c>
      <c r="S245" s="1" t="str">
        <f t="shared" si="17"/>
        <v/>
      </c>
      <c r="T245" s="1"/>
      <c r="U245" s="35" t="str">
        <f t="shared" si="16"/>
        <v/>
      </c>
    </row>
    <row r="246" spans="12:21" x14ac:dyDescent="0.25">
      <c r="L246" s="26">
        <v>243</v>
      </c>
      <c r="M246" t="s">
        <v>77</v>
      </c>
      <c r="N246" s="1" t="str">
        <f t="shared" si="14"/>
        <v/>
      </c>
      <c r="O246" s="31"/>
      <c r="P246" s="34" t="str">
        <f t="shared" si="15"/>
        <v/>
      </c>
      <c r="R246" t="s">
        <v>77</v>
      </c>
      <c r="S246" s="1" t="str">
        <f t="shared" si="17"/>
        <v/>
      </c>
      <c r="T246" s="1"/>
      <c r="U246" s="35" t="str">
        <f t="shared" si="16"/>
        <v/>
      </c>
    </row>
    <row r="247" spans="12:21" x14ac:dyDescent="0.25">
      <c r="L247" s="26">
        <v>244</v>
      </c>
      <c r="M247" t="s">
        <v>76</v>
      </c>
      <c r="N247" s="1" t="str">
        <f t="shared" si="14"/>
        <v/>
      </c>
      <c r="O247" s="31"/>
      <c r="P247" s="34" t="str">
        <f t="shared" si="15"/>
        <v/>
      </c>
      <c r="R247" t="s">
        <v>76</v>
      </c>
      <c r="S247" s="1" t="str">
        <f t="shared" si="17"/>
        <v/>
      </c>
      <c r="T247" s="1"/>
      <c r="U247" s="35" t="str">
        <f t="shared" si="16"/>
        <v/>
      </c>
    </row>
    <row r="248" spans="12:21" x14ac:dyDescent="0.25">
      <c r="L248" s="26">
        <v>245</v>
      </c>
      <c r="M248" t="s">
        <v>75</v>
      </c>
      <c r="N248" s="1" t="str">
        <f t="shared" si="14"/>
        <v/>
      </c>
      <c r="O248" s="31"/>
      <c r="P248" s="34" t="str">
        <f t="shared" si="15"/>
        <v/>
      </c>
      <c r="R248" t="s">
        <v>75</v>
      </c>
      <c r="S248" s="1" t="str">
        <f t="shared" si="17"/>
        <v/>
      </c>
      <c r="T248" s="1"/>
      <c r="U248" s="35" t="str">
        <f t="shared" si="16"/>
        <v/>
      </c>
    </row>
    <row r="249" spans="12:21" x14ac:dyDescent="0.25">
      <c r="L249" s="26">
        <v>246</v>
      </c>
      <c r="M249" t="s">
        <v>74</v>
      </c>
      <c r="N249" s="1" t="str">
        <f t="shared" si="14"/>
        <v/>
      </c>
      <c r="O249" s="31"/>
      <c r="P249" s="34" t="str">
        <f t="shared" si="15"/>
        <v/>
      </c>
      <c r="R249" t="s">
        <v>74</v>
      </c>
      <c r="S249" s="1" t="str">
        <f t="shared" si="17"/>
        <v/>
      </c>
      <c r="T249" s="1"/>
      <c r="U249" s="35" t="str">
        <f t="shared" si="16"/>
        <v/>
      </c>
    </row>
    <row r="250" spans="12:21" x14ac:dyDescent="0.25">
      <c r="L250" s="26">
        <v>247</v>
      </c>
      <c r="M250" t="s">
        <v>73</v>
      </c>
      <c r="N250" s="1" t="str">
        <f t="shared" si="14"/>
        <v/>
      </c>
      <c r="O250" s="31"/>
      <c r="P250" s="34" t="str">
        <f t="shared" si="15"/>
        <v/>
      </c>
      <c r="R250" t="s">
        <v>73</v>
      </c>
      <c r="S250" s="1" t="str">
        <f t="shared" si="17"/>
        <v/>
      </c>
      <c r="T250" s="1"/>
      <c r="U250" s="35" t="str">
        <f t="shared" si="16"/>
        <v/>
      </c>
    </row>
    <row r="251" spans="12:21" x14ac:dyDescent="0.25">
      <c r="L251" s="26">
        <v>248</v>
      </c>
      <c r="M251" t="s">
        <v>72</v>
      </c>
      <c r="N251" s="1" t="str">
        <f t="shared" si="14"/>
        <v/>
      </c>
      <c r="O251" s="31"/>
      <c r="P251" s="34" t="str">
        <f t="shared" si="15"/>
        <v/>
      </c>
      <c r="R251" t="s">
        <v>72</v>
      </c>
      <c r="S251" s="1" t="str">
        <f t="shared" si="17"/>
        <v/>
      </c>
      <c r="T251" s="1"/>
      <c r="U251" s="35" t="str">
        <f t="shared" si="16"/>
        <v/>
      </c>
    </row>
    <row r="252" spans="12:21" x14ac:dyDescent="0.25">
      <c r="L252" s="26">
        <v>249</v>
      </c>
      <c r="M252" t="s">
        <v>71</v>
      </c>
      <c r="N252" s="1" t="str">
        <f t="shared" si="14"/>
        <v/>
      </c>
      <c r="O252" s="31"/>
      <c r="P252" s="34" t="str">
        <f t="shared" si="15"/>
        <v/>
      </c>
      <c r="R252" t="s">
        <v>71</v>
      </c>
      <c r="S252" s="1" t="str">
        <f t="shared" si="17"/>
        <v/>
      </c>
      <c r="T252" s="1"/>
      <c r="U252" s="35" t="str">
        <f t="shared" si="16"/>
        <v/>
      </c>
    </row>
    <row r="253" spans="12:21" x14ac:dyDescent="0.25">
      <c r="L253" s="26">
        <v>250</v>
      </c>
      <c r="M253" t="s">
        <v>70</v>
      </c>
      <c r="N253" s="1" t="str">
        <f>IF(L253&gt;$I$2,"",F253/$D$3-1)</f>
        <v/>
      </c>
      <c r="O253" s="31"/>
      <c r="P253" s="34" t="str">
        <f t="shared" si="15"/>
        <v/>
      </c>
      <c r="R253" t="s">
        <v>70</v>
      </c>
      <c r="S253" s="1" t="str">
        <f>IF(L253&gt;$I$2,"",E253/$D$3-1)</f>
        <v/>
      </c>
      <c r="T253" s="1"/>
      <c r="U253" s="35" t="str">
        <f t="shared" si="16"/>
        <v/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83FC9-3347-47A6-A124-21258EB3457B}">
  <dimension ref="A1:U253"/>
  <sheetViews>
    <sheetView workbookViewId="0"/>
  </sheetViews>
  <sheetFormatPr defaultRowHeight="16.5" x14ac:dyDescent="0.25"/>
  <sheetData>
    <row r="1" spans="1:21" x14ac:dyDescent="0.25">
      <c r="A1" s="2" t="str">
        <f>"cmoneylookup|"&amp;B1&amp;回測表!A3&amp;C1&amp;回測表!B3&amp;D1&amp;回測表!C3&amp;E1</f>
        <v>cmoneylookup|&lt;&lt;LKQbXHjQyC$VmN7^hIU0FLBkWHRMfHRZ2BDwHUWcFQGVRF7Z8D73XRQndMUIkCEvVAEV{GRQBB9VOBog40GJyFjAhAkQBAGniJ93dD9RWE80gAQMTFlrHFAFN4V0r5X8HHBAHRQnvMUIkCFJT&gt;&gt;20180326&lt;&lt;21}JyAAAsUmVpIQjuMEsC&gt;&gt;20180409&lt;&lt;21}JyAAAsUmV7MQIfP$NZ2V7z&gt;&gt;1514&lt;&lt;21}Jy6}vxC8^XB{$Pn0eR{EP6bg6kl{iLqGHFcMH0tm{Pd^aejv7yqeRDkeyWswTMYw1BlD2IaGnJBkjI2UUR}fP8n{}liOCDqsuV9v}UL}8HGBnXFl8PqtLYv3bulwkgV$VmN8^7N{8bRjr2FnYc8fGlRQvdITQ7CCFWMmZJL9EpRQj8MWM$CCfnJlBA0RbBAT74WRE323h3ktQz&gt;&gt;</v>
      </c>
      <c r="B1" s="2" t="s">
        <v>64</v>
      </c>
      <c r="C1" s="2" t="s">
        <v>7</v>
      </c>
      <c r="D1" s="2" t="s">
        <v>8</v>
      </c>
      <c r="E1" s="2" t="s">
        <v>24</v>
      </c>
      <c r="F1" s="2"/>
    </row>
    <row r="2" spans="1:21" x14ac:dyDescent="0.25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6" t="s">
        <v>14</v>
      </c>
      <c r="H2" s="3" t="s">
        <v>28</v>
      </c>
      <c r="I2" s="28">
        <f>COUNTA(A:A)-3</f>
        <v>8</v>
      </c>
      <c r="M2" t="s">
        <v>294</v>
      </c>
      <c r="N2" s="30">
        <f>MIN($N$4:$N$4000)</f>
        <v>4.1279669762643856E-3</v>
      </c>
      <c r="O2" s="37" t="s">
        <v>307</v>
      </c>
      <c r="P2" s="38">
        <v>1</v>
      </c>
      <c r="R2" t="s">
        <v>296</v>
      </c>
      <c r="S2" s="30">
        <f>MAX($S$4:$S$4000)</f>
        <v>0.5841073271413828</v>
      </c>
      <c r="T2" s="37" t="s">
        <v>298</v>
      </c>
      <c r="U2" s="25">
        <v>1</v>
      </c>
    </row>
    <row r="3" spans="1:21" x14ac:dyDescent="0.25">
      <c r="A3" s="26">
        <v>20180326</v>
      </c>
      <c r="B3" s="26">
        <v>1514</v>
      </c>
      <c r="C3" s="26" t="s">
        <v>316</v>
      </c>
      <c r="D3" s="26">
        <v>9.69</v>
      </c>
      <c r="E3" s="26">
        <v>9.86</v>
      </c>
      <c r="F3" s="26">
        <v>9.65</v>
      </c>
      <c r="H3" s="3" t="s">
        <v>38</v>
      </c>
      <c r="I3" s="29">
        <f>IF($I$2&lt;5,"",D8/D3-1)</f>
        <v>0.195046439628483</v>
      </c>
      <c r="M3" t="s">
        <v>293</v>
      </c>
      <c r="N3">
        <f>IF(ISERROR(INDEX($A$4:$A$4000,MATCH($N$2,$N$4:$N$4000,0))),"",INDEX($A$4:$A$4000,MATCH($N$2,$N$4:$N$4000,0)))</f>
        <v>20180327</v>
      </c>
      <c r="O3" t="s">
        <v>293</v>
      </c>
      <c r="P3" s="25" t="str">
        <f>IF(ISERROR(INDEX($A$4:$A$4000,MATCH($P$2,$P$4:$P$4000,0))),"",INDEX($A$4:$A$4000,MATCH($P$2,$P$4:$P$4000,0)))</f>
        <v/>
      </c>
      <c r="R3" t="s">
        <v>293</v>
      </c>
      <c r="S3">
        <f>IF(ISERROR(INDEX($A$4:$A$4000,MATCH($S$2,$S$4:$S$4000,0))),"",INDEX($A$4:$A$4000,MATCH($S$2,$S$4:$S$4000,0)))</f>
        <v>20180409</v>
      </c>
      <c r="T3" t="s">
        <v>293</v>
      </c>
      <c r="U3" s="25">
        <f>IF(ISERROR(INDEX($A$4:$A$4000,MATCH($U$2,$U$4:$U$4000,0))),"",INDEX($A$4:$A$4000,MATCH($U$2,$U$4:$U$4000,0)))</f>
        <v>20180402</v>
      </c>
    </row>
    <row r="4" spans="1:21" x14ac:dyDescent="0.25">
      <c r="A4" s="26">
        <v>20180327</v>
      </c>
      <c r="B4" s="26">
        <v>1514</v>
      </c>
      <c r="C4" s="26" t="s">
        <v>316</v>
      </c>
      <c r="D4" s="26">
        <v>10.11</v>
      </c>
      <c r="E4" s="26">
        <v>10.49</v>
      </c>
      <c r="F4" s="26">
        <v>9.73</v>
      </c>
      <c r="H4" s="3" t="s">
        <v>29</v>
      </c>
      <c r="I4" s="29" t="str">
        <f>IF($I$2&lt;10,"",D13/D3-1)</f>
        <v/>
      </c>
      <c r="K4" t="s">
        <v>65</v>
      </c>
      <c r="L4" s="26">
        <v>1</v>
      </c>
      <c r="M4" t="s">
        <v>39</v>
      </c>
      <c r="N4" s="1">
        <f>IF(L4&gt;$I$2,"",F4/$D$3-1)</f>
        <v>4.1279669762643856E-3</v>
      </c>
      <c r="O4" s="31"/>
      <c r="P4" s="34" t="str">
        <f>IF(AND(L4&lt;=$I$2,N4&lt;= -0.1),1,"")</f>
        <v/>
      </c>
      <c r="Q4" t="s">
        <v>295</v>
      </c>
      <c r="R4" t="s">
        <v>39</v>
      </c>
      <c r="S4" s="1">
        <f>IF(L4&gt;$I$2,"",E4/$D$3-1)</f>
        <v>8.2559339525283937E-2</v>
      </c>
      <c r="T4" s="1"/>
      <c r="U4" s="35" t="str">
        <f>IF(AND(L4&lt;=$I$2,S4&gt;=0.2),1,"")</f>
        <v/>
      </c>
    </row>
    <row r="5" spans="1:21" x14ac:dyDescent="0.25">
      <c r="A5" s="26">
        <v>20180328</v>
      </c>
      <c r="B5" s="26">
        <v>1514</v>
      </c>
      <c r="C5" s="26" t="s">
        <v>316</v>
      </c>
      <c r="D5" s="26">
        <v>10.07</v>
      </c>
      <c r="E5" s="26">
        <v>10.23</v>
      </c>
      <c r="F5" s="26">
        <v>9.94</v>
      </c>
      <c r="H5" s="3" t="s">
        <v>31</v>
      </c>
      <c r="I5" s="29" t="str">
        <f>IF($I$2&lt;20,"",D23/D3-1)</f>
        <v/>
      </c>
      <c r="L5" s="26">
        <v>2</v>
      </c>
      <c r="M5" t="s">
        <v>40</v>
      </c>
      <c r="N5" s="1">
        <f t="shared" ref="N5:N68" si="0">IF(L5&gt;$I$2,"",F5/$D$3-1)</f>
        <v>2.5799793601651189E-2</v>
      </c>
      <c r="O5" s="31"/>
      <c r="P5" s="34" t="str">
        <f t="shared" ref="P5:P68" si="1">IF(AND(L5&lt;=$I$2,N5&lt;= -0.1),1,"")</f>
        <v/>
      </c>
      <c r="R5" t="s">
        <v>40</v>
      </c>
      <c r="S5" s="1">
        <f>IF(L5&gt;$I$2,"",E5/$D$3-1)</f>
        <v>5.5727554179566763E-2</v>
      </c>
      <c r="T5" s="1"/>
      <c r="U5" s="35" t="str">
        <f t="shared" ref="U5:U68" si="2">IF(AND(L5&lt;=$I$2,S5&gt;=0.2),1,"")</f>
        <v/>
      </c>
    </row>
    <row r="6" spans="1:21" x14ac:dyDescent="0.25">
      <c r="A6" s="26">
        <v>20180329</v>
      </c>
      <c r="B6" s="26">
        <v>1514</v>
      </c>
      <c r="C6" s="26" t="s">
        <v>316</v>
      </c>
      <c r="D6" s="26">
        <v>10.49</v>
      </c>
      <c r="E6" s="26">
        <v>10.7</v>
      </c>
      <c r="F6" s="26">
        <v>10.19</v>
      </c>
      <c r="L6" s="26">
        <v>3</v>
      </c>
      <c r="M6" t="s">
        <v>41</v>
      </c>
      <c r="N6" s="1">
        <f t="shared" si="0"/>
        <v>5.1599587203302377E-2</v>
      </c>
      <c r="O6" s="31"/>
      <c r="P6" s="34" t="str">
        <f t="shared" si="1"/>
        <v/>
      </c>
      <c r="R6" t="s">
        <v>41</v>
      </c>
      <c r="S6" s="1">
        <f>IF(L6&gt;$I$2,"",E6/$D$3-1)</f>
        <v>0.10423116615067074</v>
      </c>
      <c r="T6" s="1"/>
      <c r="U6" s="35" t="str">
        <f t="shared" si="2"/>
        <v/>
      </c>
    </row>
    <row r="7" spans="1:21" x14ac:dyDescent="0.25">
      <c r="A7" s="26">
        <v>20180330</v>
      </c>
      <c r="B7" s="26">
        <v>1514</v>
      </c>
      <c r="C7" s="26" t="s">
        <v>316</v>
      </c>
      <c r="D7" s="26">
        <v>10.53</v>
      </c>
      <c r="E7" s="26">
        <v>10.99</v>
      </c>
      <c r="F7" s="26">
        <v>10.49</v>
      </c>
      <c r="L7" s="26">
        <v>4</v>
      </c>
      <c r="M7" t="s">
        <v>42</v>
      </c>
      <c r="N7" s="1">
        <f t="shared" si="0"/>
        <v>8.2559339525283937E-2</v>
      </c>
      <c r="O7" s="31"/>
      <c r="P7" s="34" t="str">
        <f t="shared" si="1"/>
        <v/>
      </c>
      <c r="R7" t="s">
        <v>42</v>
      </c>
      <c r="S7" s="1">
        <f t="shared" ref="S7:S11" si="3">IF(L7&gt;$I$2,"",E7/$D$3-1)</f>
        <v>0.13415892672858631</v>
      </c>
      <c r="T7" s="1"/>
      <c r="U7" s="35" t="str">
        <f t="shared" si="2"/>
        <v/>
      </c>
    </row>
    <row r="8" spans="1:21" x14ac:dyDescent="0.25">
      <c r="A8" s="26">
        <v>20180331</v>
      </c>
      <c r="B8" s="26">
        <v>1514</v>
      </c>
      <c r="C8" s="26" t="s">
        <v>316</v>
      </c>
      <c r="D8" s="26">
        <v>11.58</v>
      </c>
      <c r="E8" s="26">
        <v>11.58</v>
      </c>
      <c r="F8" s="26">
        <v>10.53</v>
      </c>
      <c r="L8" s="26">
        <v>5</v>
      </c>
      <c r="M8" t="s">
        <v>37</v>
      </c>
      <c r="N8" s="1">
        <f t="shared" si="0"/>
        <v>8.6687306501547878E-2</v>
      </c>
      <c r="O8" s="31"/>
      <c r="P8" s="34" t="str">
        <f t="shared" si="1"/>
        <v/>
      </c>
      <c r="R8" t="s">
        <v>37</v>
      </c>
      <c r="S8" s="1">
        <f t="shared" si="3"/>
        <v>0.195046439628483</v>
      </c>
      <c r="T8" s="1"/>
      <c r="U8" s="35" t="str">
        <f t="shared" si="2"/>
        <v/>
      </c>
    </row>
    <row r="9" spans="1:21" x14ac:dyDescent="0.25">
      <c r="A9" s="26">
        <v>20180402</v>
      </c>
      <c r="B9" s="26">
        <v>1514</v>
      </c>
      <c r="C9" s="26" t="s">
        <v>316</v>
      </c>
      <c r="D9" s="26">
        <v>12.71</v>
      </c>
      <c r="E9" s="26">
        <v>12.71</v>
      </c>
      <c r="F9" s="26">
        <v>12.71</v>
      </c>
      <c r="L9" s="26">
        <v>6</v>
      </c>
      <c r="M9" t="s">
        <v>43</v>
      </c>
      <c r="N9" s="1">
        <f t="shared" si="0"/>
        <v>0.31166150670794646</v>
      </c>
      <c r="O9" s="31"/>
      <c r="P9" s="34" t="str">
        <f t="shared" si="1"/>
        <v/>
      </c>
      <c r="R9" t="s">
        <v>43</v>
      </c>
      <c r="S9" s="1">
        <f t="shared" si="3"/>
        <v>0.31166150670794646</v>
      </c>
      <c r="T9" s="1"/>
      <c r="U9" s="35">
        <f t="shared" si="2"/>
        <v>1</v>
      </c>
    </row>
    <row r="10" spans="1:21" x14ac:dyDescent="0.25">
      <c r="A10" s="26">
        <v>20180403</v>
      </c>
      <c r="B10" s="26">
        <v>1514</v>
      </c>
      <c r="C10" s="26" t="s">
        <v>316</v>
      </c>
      <c r="D10" s="26">
        <v>13.97</v>
      </c>
      <c r="E10" s="26">
        <v>13.97</v>
      </c>
      <c r="F10" s="26">
        <v>13</v>
      </c>
      <c r="L10" s="26">
        <v>7</v>
      </c>
      <c r="M10" t="s">
        <v>44</v>
      </c>
      <c r="N10" s="1">
        <f t="shared" si="0"/>
        <v>0.34158926728586181</v>
      </c>
      <c r="O10" s="31"/>
      <c r="P10" s="34" t="str">
        <f t="shared" si="1"/>
        <v/>
      </c>
      <c r="R10" t="s">
        <v>44</v>
      </c>
      <c r="S10" s="1">
        <f t="shared" si="3"/>
        <v>0.44169246646026838</v>
      </c>
      <c r="T10" s="1"/>
      <c r="U10" s="35">
        <f t="shared" si="2"/>
        <v>1</v>
      </c>
    </row>
    <row r="11" spans="1:21" x14ac:dyDescent="0.25">
      <c r="A11" s="26">
        <v>20180409</v>
      </c>
      <c r="B11" s="26">
        <v>1514</v>
      </c>
      <c r="C11" s="26" t="s">
        <v>316</v>
      </c>
      <c r="D11" s="26">
        <v>15.35</v>
      </c>
      <c r="E11" s="26">
        <v>15.35</v>
      </c>
      <c r="F11" s="26">
        <v>14.72</v>
      </c>
      <c r="L11" s="26">
        <v>8</v>
      </c>
      <c r="M11" t="s">
        <v>45</v>
      </c>
      <c r="N11" s="1">
        <f t="shared" si="0"/>
        <v>0.51909184726522195</v>
      </c>
      <c r="O11" s="31"/>
      <c r="P11" s="34" t="str">
        <f t="shared" si="1"/>
        <v/>
      </c>
      <c r="R11" t="s">
        <v>45</v>
      </c>
      <c r="S11" s="1">
        <f t="shared" si="3"/>
        <v>0.5841073271413828</v>
      </c>
      <c r="T11" s="1"/>
      <c r="U11" s="35">
        <f t="shared" si="2"/>
        <v>1</v>
      </c>
    </row>
    <row r="12" spans="1:21" x14ac:dyDescent="0.25">
      <c r="A12" s="26"/>
      <c r="B12" s="26"/>
      <c r="C12" s="26"/>
      <c r="D12" s="26"/>
      <c r="E12" s="26"/>
      <c r="F12" s="26"/>
      <c r="L12" s="26">
        <v>9</v>
      </c>
      <c r="M12" t="s">
        <v>46</v>
      </c>
      <c r="N12" s="1" t="str">
        <f>IF(L12&gt;$I$2,"",F12/$D$3-1)</f>
        <v/>
      </c>
      <c r="O12" s="31"/>
      <c r="P12" s="34" t="str">
        <f t="shared" si="1"/>
        <v/>
      </c>
      <c r="R12" t="s">
        <v>46</v>
      </c>
      <c r="S12" s="1" t="str">
        <f>IF(L12&gt;$I$2,"",E12/$D$3-1)</f>
        <v/>
      </c>
      <c r="T12" s="1"/>
      <c r="U12" s="35" t="str">
        <f t="shared" si="2"/>
        <v/>
      </c>
    </row>
    <row r="13" spans="1:21" x14ac:dyDescent="0.25">
      <c r="A13" s="26"/>
      <c r="B13" s="26"/>
      <c r="C13" s="26"/>
      <c r="D13" s="26"/>
      <c r="E13" s="26"/>
      <c r="F13" s="26"/>
      <c r="L13" s="26">
        <v>10</v>
      </c>
      <c r="M13" t="s">
        <v>47</v>
      </c>
      <c r="N13" s="1" t="str">
        <f t="shared" si="0"/>
        <v/>
      </c>
      <c r="O13" s="31"/>
      <c r="P13" s="34" t="str">
        <f t="shared" si="1"/>
        <v/>
      </c>
      <c r="R13" t="s">
        <v>47</v>
      </c>
      <c r="S13" s="1" t="str">
        <f>IF(L13&gt;$I$2,"",E13/$D$3-1)</f>
        <v/>
      </c>
      <c r="T13" s="1"/>
      <c r="U13" s="35" t="str">
        <f t="shared" si="2"/>
        <v/>
      </c>
    </row>
    <row r="14" spans="1:21" x14ac:dyDescent="0.25">
      <c r="A14" s="26"/>
      <c r="B14" s="26"/>
      <c r="C14" s="26"/>
      <c r="D14" s="26"/>
      <c r="E14" s="26"/>
      <c r="F14" s="26"/>
      <c r="L14" s="26">
        <v>11</v>
      </c>
      <c r="M14" t="s">
        <v>48</v>
      </c>
      <c r="N14" s="1" t="str">
        <f t="shared" si="0"/>
        <v/>
      </c>
      <c r="O14" s="31"/>
      <c r="P14" s="34" t="str">
        <f t="shared" si="1"/>
        <v/>
      </c>
      <c r="R14" t="s">
        <v>48</v>
      </c>
      <c r="S14" s="1" t="str">
        <f>IF(L14&gt;$I$2,"",E14/$D$3-1)</f>
        <v/>
      </c>
      <c r="T14" s="1"/>
      <c r="U14" s="35" t="str">
        <f t="shared" si="2"/>
        <v/>
      </c>
    </row>
    <row r="15" spans="1:21" x14ac:dyDescent="0.25">
      <c r="A15" s="26"/>
      <c r="B15" s="26"/>
      <c r="C15" s="26"/>
      <c r="D15" s="26"/>
      <c r="E15" s="26"/>
      <c r="F15" s="26"/>
      <c r="L15" s="26">
        <v>12</v>
      </c>
      <c r="M15" t="s">
        <v>49</v>
      </c>
      <c r="N15" s="1" t="str">
        <f t="shared" si="0"/>
        <v/>
      </c>
      <c r="O15" s="31"/>
      <c r="P15" s="34" t="str">
        <f t="shared" si="1"/>
        <v/>
      </c>
      <c r="R15" t="s">
        <v>49</v>
      </c>
      <c r="S15" s="1" t="str">
        <f t="shared" ref="S15:S18" si="4">IF(L15&gt;$I$2,"",E15/$D$3-1)</f>
        <v/>
      </c>
      <c r="T15" s="1"/>
      <c r="U15" s="35" t="str">
        <f t="shared" si="2"/>
        <v/>
      </c>
    </row>
    <row r="16" spans="1:21" x14ac:dyDescent="0.25">
      <c r="A16" s="26"/>
      <c r="B16" s="26"/>
      <c r="C16" s="26"/>
      <c r="D16" s="26"/>
      <c r="E16" s="26"/>
      <c r="F16" s="26"/>
      <c r="L16" s="26">
        <v>13</v>
      </c>
      <c r="M16" t="s">
        <v>50</v>
      </c>
      <c r="N16" s="1" t="str">
        <f t="shared" si="0"/>
        <v/>
      </c>
      <c r="O16" s="31"/>
      <c r="P16" s="34" t="str">
        <f t="shared" si="1"/>
        <v/>
      </c>
      <c r="R16" t="s">
        <v>50</v>
      </c>
      <c r="S16" s="1" t="str">
        <f t="shared" si="4"/>
        <v/>
      </c>
      <c r="T16" s="1"/>
      <c r="U16" s="35" t="str">
        <f t="shared" si="2"/>
        <v/>
      </c>
    </row>
    <row r="17" spans="1:21" x14ac:dyDescent="0.25">
      <c r="A17" s="26"/>
      <c r="B17" s="26"/>
      <c r="C17" s="26"/>
      <c r="D17" s="26"/>
      <c r="E17" s="26"/>
      <c r="F17" s="26"/>
      <c r="L17" s="26">
        <v>14</v>
      </c>
      <c r="M17" t="s">
        <v>51</v>
      </c>
      <c r="N17" s="1" t="str">
        <f t="shared" si="0"/>
        <v/>
      </c>
      <c r="O17" s="31"/>
      <c r="P17" s="34" t="str">
        <f t="shared" si="1"/>
        <v/>
      </c>
      <c r="R17" t="s">
        <v>51</v>
      </c>
      <c r="S17" s="1" t="str">
        <f t="shared" si="4"/>
        <v/>
      </c>
      <c r="T17" s="1"/>
      <c r="U17" s="35" t="str">
        <f t="shared" si="2"/>
        <v/>
      </c>
    </row>
    <row r="18" spans="1:21" x14ac:dyDescent="0.25">
      <c r="A18" s="26"/>
      <c r="B18" s="26"/>
      <c r="C18" s="26"/>
      <c r="D18" s="26"/>
      <c r="E18" s="26"/>
      <c r="F18" s="26"/>
      <c r="L18" s="26">
        <v>15</v>
      </c>
      <c r="M18" t="s">
        <v>52</v>
      </c>
      <c r="N18" s="1" t="str">
        <f t="shared" si="0"/>
        <v/>
      </c>
      <c r="O18" s="31"/>
      <c r="P18" s="34" t="str">
        <f t="shared" si="1"/>
        <v/>
      </c>
      <c r="R18" t="s">
        <v>52</v>
      </c>
      <c r="S18" s="1" t="str">
        <f t="shared" si="4"/>
        <v/>
      </c>
      <c r="T18" s="1"/>
      <c r="U18" s="35" t="str">
        <f t="shared" si="2"/>
        <v/>
      </c>
    </row>
    <row r="19" spans="1:21" x14ac:dyDescent="0.25">
      <c r="A19" s="26"/>
      <c r="B19" s="26"/>
      <c r="C19" s="26"/>
      <c r="D19" s="26"/>
      <c r="E19" s="26"/>
      <c r="F19" s="26"/>
      <c r="L19" s="26">
        <v>16</v>
      </c>
      <c r="M19" t="s">
        <v>53</v>
      </c>
      <c r="N19" s="1" t="str">
        <f t="shared" si="0"/>
        <v/>
      </c>
      <c r="O19" s="31"/>
      <c r="P19" s="34" t="str">
        <f t="shared" si="1"/>
        <v/>
      </c>
      <c r="R19" t="s">
        <v>53</v>
      </c>
      <c r="S19" s="1" t="str">
        <f>IF(L19&gt;$I$2,"",E19/$D$3-1)</f>
        <v/>
      </c>
      <c r="T19" s="1"/>
      <c r="U19" s="35" t="str">
        <f t="shared" si="2"/>
        <v/>
      </c>
    </row>
    <row r="20" spans="1:21" x14ac:dyDescent="0.25">
      <c r="A20" s="26"/>
      <c r="B20" s="26"/>
      <c r="C20" s="26"/>
      <c r="D20" s="26"/>
      <c r="E20" s="26"/>
      <c r="F20" s="26"/>
      <c r="L20" s="26">
        <v>17</v>
      </c>
      <c r="M20" t="s">
        <v>54</v>
      </c>
      <c r="N20" s="1" t="str">
        <f t="shared" si="0"/>
        <v/>
      </c>
      <c r="O20" s="31"/>
      <c r="P20" s="34" t="str">
        <f t="shared" si="1"/>
        <v/>
      </c>
      <c r="R20" t="s">
        <v>54</v>
      </c>
      <c r="S20" s="1" t="str">
        <f>IF(L20&gt;$I$2,"",E20/$D$3-1)</f>
        <v/>
      </c>
      <c r="T20" s="1"/>
      <c r="U20" s="35" t="str">
        <f t="shared" si="2"/>
        <v/>
      </c>
    </row>
    <row r="21" spans="1:21" x14ac:dyDescent="0.25">
      <c r="A21" s="26"/>
      <c r="B21" s="26"/>
      <c r="C21" s="26"/>
      <c r="D21" s="26"/>
      <c r="E21" s="26"/>
      <c r="F21" s="26"/>
      <c r="L21" s="26">
        <v>18</v>
      </c>
      <c r="M21" t="s">
        <v>55</v>
      </c>
      <c r="N21" s="1" t="str">
        <f t="shared" si="0"/>
        <v/>
      </c>
      <c r="O21" s="31"/>
      <c r="P21" s="34" t="str">
        <f t="shared" si="1"/>
        <v/>
      </c>
      <c r="R21" t="s">
        <v>55</v>
      </c>
      <c r="S21" s="1" t="str">
        <f>IF(L21&gt;$I$2,"",E21/$D$3-1)</f>
        <v/>
      </c>
      <c r="T21" s="1"/>
      <c r="U21" s="35" t="str">
        <f t="shared" si="2"/>
        <v/>
      </c>
    </row>
    <row r="22" spans="1:21" x14ac:dyDescent="0.25">
      <c r="A22" s="26"/>
      <c r="B22" s="26"/>
      <c r="C22" s="26"/>
      <c r="D22" s="26"/>
      <c r="E22" s="26"/>
      <c r="F22" s="26"/>
      <c r="L22" s="26">
        <v>19</v>
      </c>
      <c r="M22" t="s">
        <v>56</v>
      </c>
      <c r="N22" s="1" t="str">
        <f t="shared" si="0"/>
        <v/>
      </c>
      <c r="O22" s="31"/>
      <c r="P22" s="34" t="str">
        <f t="shared" si="1"/>
        <v/>
      </c>
      <c r="R22" t="s">
        <v>56</v>
      </c>
      <c r="S22" s="1" t="str">
        <f>IF(L22&gt;$I$2,"",E22/$D$3-1)</f>
        <v/>
      </c>
      <c r="T22" s="1"/>
      <c r="U22" s="35" t="str">
        <f t="shared" si="2"/>
        <v/>
      </c>
    </row>
    <row r="23" spans="1:21" x14ac:dyDescent="0.25">
      <c r="A23" s="26"/>
      <c r="B23" s="26"/>
      <c r="C23" s="26"/>
      <c r="D23" s="26"/>
      <c r="E23" s="26"/>
      <c r="F23" s="26"/>
      <c r="L23" s="26">
        <v>20</v>
      </c>
      <c r="M23" t="s">
        <v>57</v>
      </c>
      <c r="N23" s="1" t="str">
        <f t="shared" si="0"/>
        <v/>
      </c>
      <c r="O23" s="31"/>
      <c r="P23" s="34" t="str">
        <f t="shared" si="1"/>
        <v/>
      </c>
      <c r="R23" t="s">
        <v>57</v>
      </c>
      <c r="S23" s="1" t="str">
        <f>IF(L23&gt;$I$2,"",E23/$D$3-1)</f>
        <v/>
      </c>
      <c r="T23" s="1"/>
      <c r="U23" s="35" t="str">
        <f t="shared" si="2"/>
        <v/>
      </c>
    </row>
    <row r="24" spans="1:21" x14ac:dyDescent="0.25">
      <c r="A24" s="26"/>
      <c r="B24" s="26"/>
      <c r="C24" s="26"/>
      <c r="D24" s="26"/>
      <c r="E24" s="26"/>
      <c r="F24" s="26"/>
      <c r="L24" s="26">
        <v>21</v>
      </c>
      <c r="M24" t="s">
        <v>58</v>
      </c>
      <c r="N24" s="1" t="str">
        <f t="shared" si="0"/>
        <v/>
      </c>
      <c r="O24" s="31"/>
      <c r="P24" s="34" t="str">
        <f t="shared" si="1"/>
        <v/>
      </c>
      <c r="R24" t="s">
        <v>58</v>
      </c>
      <c r="S24" s="1" t="str">
        <f t="shared" ref="S24:S87" si="5">IF(L24&gt;$I$2,"",E24/$D$3-1)</f>
        <v/>
      </c>
      <c r="T24" s="1"/>
      <c r="U24" s="35" t="str">
        <f t="shared" si="2"/>
        <v/>
      </c>
    </row>
    <row r="25" spans="1:21" x14ac:dyDescent="0.25">
      <c r="A25" s="26"/>
      <c r="B25" s="26"/>
      <c r="C25" s="26"/>
      <c r="D25" s="26"/>
      <c r="E25" s="26"/>
      <c r="F25" s="26"/>
      <c r="L25" s="26">
        <v>22</v>
      </c>
      <c r="M25" t="s">
        <v>59</v>
      </c>
      <c r="N25" s="1" t="str">
        <f t="shared" si="0"/>
        <v/>
      </c>
      <c r="O25" s="31"/>
      <c r="P25" s="34" t="str">
        <f t="shared" si="1"/>
        <v/>
      </c>
      <c r="R25" t="s">
        <v>59</v>
      </c>
      <c r="S25" s="1" t="str">
        <f t="shared" si="5"/>
        <v/>
      </c>
      <c r="T25" s="1"/>
      <c r="U25" s="35" t="str">
        <f t="shared" si="2"/>
        <v/>
      </c>
    </row>
    <row r="26" spans="1:21" x14ac:dyDescent="0.25">
      <c r="A26" s="26"/>
      <c r="B26" s="26"/>
      <c r="C26" s="26"/>
      <c r="D26" s="26"/>
      <c r="E26" s="26"/>
      <c r="F26" s="26"/>
      <c r="L26" s="26">
        <v>23</v>
      </c>
      <c r="M26" t="s">
        <v>60</v>
      </c>
      <c r="N26" s="1" t="str">
        <f t="shared" si="0"/>
        <v/>
      </c>
      <c r="O26" s="31"/>
      <c r="P26" s="34" t="str">
        <f t="shared" si="1"/>
        <v/>
      </c>
      <c r="R26" t="s">
        <v>60</v>
      </c>
      <c r="S26" s="1" t="str">
        <f t="shared" si="5"/>
        <v/>
      </c>
      <c r="T26" s="1"/>
      <c r="U26" s="35" t="str">
        <f t="shared" si="2"/>
        <v/>
      </c>
    </row>
    <row r="27" spans="1:21" x14ac:dyDescent="0.25">
      <c r="A27" s="16"/>
      <c r="B27" s="16"/>
      <c r="C27" s="16"/>
      <c r="D27" s="16"/>
      <c r="E27" s="16"/>
      <c r="F27" s="16"/>
      <c r="G27" s="9"/>
      <c r="H27" s="9"/>
      <c r="I27" s="9"/>
      <c r="J27" s="9"/>
      <c r="K27" s="9"/>
      <c r="L27" s="16">
        <v>24</v>
      </c>
      <c r="M27" s="9" t="s">
        <v>66</v>
      </c>
      <c r="N27" s="33" t="str">
        <f t="shared" si="0"/>
        <v/>
      </c>
      <c r="O27" s="32"/>
      <c r="P27" s="34" t="str">
        <f t="shared" si="1"/>
        <v/>
      </c>
      <c r="Q27" s="9"/>
      <c r="R27" s="9" t="s">
        <v>61</v>
      </c>
      <c r="S27" s="33" t="str">
        <f t="shared" si="5"/>
        <v/>
      </c>
      <c r="T27" s="33"/>
      <c r="U27" s="35" t="str">
        <f t="shared" si="2"/>
        <v/>
      </c>
    </row>
    <row r="28" spans="1:21" x14ac:dyDescent="0.25">
      <c r="A28" s="26"/>
      <c r="B28" s="26"/>
      <c r="C28" s="26"/>
      <c r="D28" s="26"/>
      <c r="E28" s="26"/>
      <c r="F28" s="26"/>
      <c r="L28" s="26">
        <v>25</v>
      </c>
      <c r="M28" t="s">
        <v>67</v>
      </c>
      <c r="N28" s="1" t="str">
        <f t="shared" si="0"/>
        <v/>
      </c>
      <c r="O28" s="31"/>
      <c r="P28" s="34" t="str">
        <f t="shared" si="1"/>
        <v/>
      </c>
      <c r="R28" t="s">
        <v>67</v>
      </c>
      <c r="S28" s="1" t="str">
        <f>IF(L28&gt;$I$2,"",E28/$D$3-1)</f>
        <v/>
      </c>
      <c r="T28" s="1"/>
      <c r="U28" s="35" t="str">
        <f t="shared" si="2"/>
        <v/>
      </c>
    </row>
    <row r="29" spans="1:21" x14ac:dyDescent="0.25">
      <c r="A29" s="26"/>
      <c r="B29" s="26"/>
      <c r="C29" s="26"/>
      <c r="D29" s="26"/>
      <c r="E29" s="26"/>
      <c r="F29" s="26"/>
      <c r="L29" s="26">
        <v>26</v>
      </c>
      <c r="M29" t="s">
        <v>68</v>
      </c>
      <c r="N29" s="1" t="str">
        <f t="shared" si="0"/>
        <v/>
      </c>
      <c r="O29" s="31"/>
      <c r="P29" s="34" t="str">
        <f t="shared" si="1"/>
        <v/>
      </c>
      <c r="R29" t="s">
        <v>68</v>
      </c>
      <c r="S29" s="1" t="str">
        <f t="shared" si="5"/>
        <v/>
      </c>
      <c r="T29" s="1"/>
      <c r="U29" s="35" t="str">
        <f t="shared" si="2"/>
        <v/>
      </c>
    </row>
    <row r="30" spans="1:21" x14ac:dyDescent="0.25">
      <c r="A30" s="26"/>
      <c r="B30" s="26"/>
      <c r="C30" s="26"/>
      <c r="D30" s="26"/>
      <c r="E30" s="26"/>
      <c r="F30" s="26"/>
      <c r="L30" s="26">
        <v>27</v>
      </c>
      <c r="M30" t="s">
        <v>69</v>
      </c>
      <c r="N30" s="1" t="str">
        <f t="shared" si="0"/>
        <v/>
      </c>
      <c r="O30" s="31"/>
      <c r="P30" s="34" t="str">
        <f t="shared" si="1"/>
        <v/>
      </c>
      <c r="R30" t="s">
        <v>69</v>
      </c>
      <c r="S30" s="1" t="str">
        <f t="shared" si="5"/>
        <v/>
      </c>
      <c r="T30" s="1"/>
      <c r="U30" s="35" t="str">
        <f t="shared" si="2"/>
        <v/>
      </c>
    </row>
    <row r="31" spans="1:21" x14ac:dyDescent="0.25">
      <c r="A31" s="26"/>
      <c r="B31" s="26"/>
      <c r="C31" s="26"/>
      <c r="D31" s="26"/>
      <c r="E31" s="26"/>
      <c r="F31" s="26"/>
      <c r="L31" s="26">
        <v>28</v>
      </c>
      <c r="M31" t="s">
        <v>292</v>
      </c>
      <c r="N31" s="1" t="str">
        <f t="shared" si="0"/>
        <v/>
      </c>
      <c r="O31" s="31"/>
      <c r="P31" s="34" t="str">
        <f t="shared" si="1"/>
        <v/>
      </c>
      <c r="R31" t="s">
        <v>292</v>
      </c>
      <c r="S31" s="1" t="str">
        <f t="shared" si="5"/>
        <v/>
      </c>
      <c r="T31" s="1"/>
      <c r="U31" s="35" t="str">
        <f t="shared" si="2"/>
        <v/>
      </c>
    </row>
    <row r="32" spans="1:21" x14ac:dyDescent="0.25">
      <c r="A32" s="26"/>
      <c r="B32" s="26"/>
      <c r="C32" s="26"/>
      <c r="D32" s="26"/>
      <c r="E32" s="26"/>
      <c r="F32" s="26"/>
      <c r="L32" s="26">
        <v>29</v>
      </c>
      <c r="M32" t="s">
        <v>291</v>
      </c>
      <c r="N32" s="1" t="str">
        <f t="shared" si="0"/>
        <v/>
      </c>
      <c r="O32" s="31"/>
      <c r="P32" s="34" t="str">
        <f t="shared" si="1"/>
        <v/>
      </c>
      <c r="R32" t="s">
        <v>291</v>
      </c>
      <c r="S32" s="1" t="str">
        <f t="shared" si="5"/>
        <v/>
      </c>
      <c r="T32" s="1"/>
      <c r="U32" s="35" t="str">
        <f t="shared" si="2"/>
        <v/>
      </c>
    </row>
    <row r="33" spans="1:21" x14ac:dyDescent="0.25">
      <c r="A33" s="26"/>
      <c r="B33" s="26"/>
      <c r="C33" s="26"/>
      <c r="D33" s="26"/>
      <c r="E33" s="26"/>
      <c r="F33" s="26"/>
      <c r="L33" s="26">
        <v>30</v>
      </c>
      <c r="M33" t="s">
        <v>290</v>
      </c>
      <c r="N33" s="1" t="str">
        <f t="shared" si="0"/>
        <v/>
      </c>
      <c r="O33" s="31"/>
      <c r="P33" s="34" t="str">
        <f t="shared" si="1"/>
        <v/>
      </c>
      <c r="R33" t="s">
        <v>290</v>
      </c>
      <c r="S33" s="1" t="str">
        <f t="shared" si="5"/>
        <v/>
      </c>
      <c r="T33" s="1"/>
      <c r="U33" s="35" t="str">
        <f t="shared" si="2"/>
        <v/>
      </c>
    </row>
    <row r="34" spans="1:21" x14ac:dyDescent="0.25">
      <c r="A34" s="26"/>
      <c r="B34" s="26"/>
      <c r="C34" s="26"/>
      <c r="D34" s="26"/>
      <c r="E34" s="26"/>
      <c r="F34" s="26"/>
      <c r="L34" s="26">
        <v>31</v>
      </c>
      <c r="M34" t="s">
        <v>289</v>
      </c>
      <c r="N34" s="1" t="str">
        <f t="shared" si="0"/>
        <v/>
      </c>
      <c r="O34" s="31"/>
      <c r="P34" s="34" t="str">
        <f t="shared" si="1"/>
        <v/>
      </c>
      <c r="R34" t="s">
        <v>289</v>
      </c>
      <c r="S34" s="1" t="str">
        <f t="shared" si="5"/>
        <v/>
      </c>
      <c r="T34" s="1"/>
      <c r="U34" s="35" t="str">
        <f t="shared" si="2"/>
        <v/>
      </c>
    </row>
    <row r="35" spans="1:21" x14ac:dyDescent="0.25">
      <c r="A35" s="26"/>
      <c r="B35" s="26"/>
      <c r="C35" s="26"/>
      <c r="D35" s="26"/>
      <c r="E35" s="26"/>
      <c r="F35" s="26"/>
      <c r="L35" s="26">
        <v>32</v>
      </c>
      <c r="M35" t="s">
        <v>288</v>
      </c>
      <c r="N35" s="1" t="str">
        <f t="shared" si="0"/>
        <v/>
      </c>
      <c r="O35" s="31"/>
      <c r="P35" s="34" t="str">
        <f t="shared" si="1"/>
        <v/>
      </c>
      <c r="R35" t="s">
        <v>288</v>
      </c>
      <c r="S35" s="1" t="str">
        <f t="shared" si="5"/>
        <v/>
      </c>
      <c r="T35" s="1"/>
      <c r="U35" s="35" t="str">
        <f t="shared" si="2"/>
        <v/>
      </c>
    </row>
    <row r="36" spans="1:21" x14ac:dyDescent="0.25">
      <c r="A36" s="26"/>
      <c r="B36" s="26"/>
      <c r="C36" s="26"/>
      <c r="D36" s="26"/>
      <c r="E36" s="26"/>
      <c r="F36" s="26"/>
      <c r="L36" s="26">
        <v>33</v>
      </c>
      <c r="M36" t="s">
        <v>287</v>
      </c>
      <c r="N36" s="1" t="str">
        <f t="shared" si="0"/>
        <v/>
      </c>
      <c r="O36" s="31"/>
      <c r="P36" s="34" t="str">
        <f t="shared" si="1"/>
        <v/>
      </c>
      <c r="R36" t="s">
        <v>287</v>
      </c>
      <c r="S36" s="1" t="str">
        <f t="shared" si="5"/>
        <v/>
      </c>
      <c r="T36" s="1"/>
      <c r="U36" s="35" t="str">
        <f t="shared" si="2"/>
        <v/>
      </c>
    </row>
    <row r="37" spans="1:21" x14ac:dyDescent="0.25">
      <c r="A37" s="26"/>
      <c r="B37" s="26"/>
      <c r="C37" s="26"/>
      <c r="D37" s="26"/>
      <c r="E37" s="26"/>
      <c r="F37" s="26"/>
      <c r="L37" s="26">
        <v>34</v>
      </c>
      <c r="M37" t="s">
        <v>286</v>
      </c>
      <c r="N37" s="1" t="str">
        <f t="shared" si="0"/>
        <v/>
      </c>
      <c r="O37" s="31"/>
      <c r="P37" s="34" t="str">
        <f t="shared" si="1"/>
        <v/>
      </c>
      <c r="R37" t="s">
        <v>286</v>
      </c>
      <c r="S37" s="1" t="str">
        <f t="shared" si="5"/>
        <v/>
      </c>
      <c r="T37" s="1"/>
      <c r="U37" s="35" t="str">
        <f t="shared" si="2"/>
        <v/>
      </c>
    </row>
    <row r="38" spans="1:21" x14ac:dyDescent="0.25">
      <c r="A38" s="26"/>
      <c r="B38" s="26"/>
      <c r="C38" s="26"/>
      <c r="D38" s="26"/>
      <c r="E38" s="26"/>
      <c r="F38" s="26"/>
      <c r="L38" s="26">
        <v>35</v>
      </c>
      <c r="M38" t="s">
        <v>285</v>
      </c>
      <c r="N38" s="1" t="str">
        <f t="shared" si="0"/>
        <v/>
      </c>
      <c r="O38" s="31"/>
      <c r="P38" s="34" t="str">
        <f t="shared" si="1"/>
        <v/>
      </c>
      <c r="R38" t="s">
        <v>285</v>
      </c>
      <c r="S38" s="1" t="str">
        <f t="shared" si="5"/>
        <v/>
      </c>
      <c r="T38" s="1"/>
      <c r="U38" s="35" t="str">
        <f t="shared" si="2"/>
        <v/>
      </c>
    </row>
    <row r="39" spans="1:21" x14ac:dyDescent="0.25">
      <c r="A39" s="26"/>
      <c r="B39" s="26"/>
      <c r="C39" s="26"/>
      <c r="D39" s="26"/>
      <c r="E39" s="26"/>
      <c r="F39" s="26"/>
      <c r="L39" s="26">
        <v>36</v>
      </c>
      <c r="M39" t="s">
        <v>284</v>
      </c>
      <c r="N39" s="1" t="str">
        <f t="shared" si="0"/>
        <v/>
      </c>
      <c r="O39" s="31"/>
      <c r="P39" s="34" t="str">
        <f t="shared" si="1"/>
        <v/>
      </c>
      <c r="R39" t="s">
        <v>284</v>
      </c>
      <c r="S39" s="1" t="str">
        <f t="shared" si="5"/>
        <v/>
      </c>
      <c r="T39" s="1"/>
      <c r="U39" s="35" t="str">
        <f t="shared" si="2"/>
        <v/>
      </c>
    </row>
    <row r="40" spans="1:21" x14ac:dyDescent="0.25">
      <c r="A40" s="26"/>
      <c r="B40" s="26"/>
      <c r="C40" s="26"/>
      <c r="D40" s="26"/>
      <c r="E40" s="26"/>
      <c r="F40" s="26"/>
      <c r="L40" s="26">
        <v>37</v>
      </c>
      <c r="M40" t="s">
        <v>283</v>
      </c>
      <c r="N40" s="1" t="str">
        <f t="shared" si="0"/>
        <v/>
      </c>
      <c r="O40" s="31"/>
      <c r="P40" s="34" t="str">
        <f t="shared" si="1"/>
        <v/>
      </c>
      <c r="R40" t="s">
        <v>283</v>
      </c>
      <c r="S40" s="1" t="str">
        <f t="shared" si="5"/>
        <v/>
      </c>
      <c r="T40" s="1"/>
      <c r="U40" s="35" t="str">
        <f t="shared" si="2"/>
        <v/>
      </c>
    </row>
    <row r="41" spans="1:21" x14ac:dyDescent="0.25">
      <c r="A41" s="26"/>
      <c r="B41" s="26"/>
      <c r="C41" s="26"/>
      <c r="D41" s="26"/>
      <c r="E41" s="26"/>
      <c r="F41" s="26"/>
      <c r="L41" s="26">
        <v>38</v>
      </c>
      <c r="M41" t="s">
        <v>282</v>
      </c>
      <c r="N41" s="1" t="str">
        <f t="shared" si="0"/>
        <v/>
      </c>
      <c r="O41" s="31"/>
      <c r="P41" s="34" t="str">
        <f t="shared" si="1"/>
        <v/>
      </c>
      <c r="R41" t="s">
        <v>282</v>
      </c>
      <c r="S41" s="1" t="str">
        <f t="shared" si="5"/>
        <v/>
      </c>
      <c r="T41" s="1"/>
      <c r="U41" s="35" t="str">
        <f t="shared" si="2"/>
        <v/>
      </c>
    </row>
    <row r="42" spans="1:21" x14ac:dyDescent="0.25">
      <c r="A42" s="26"/>
      <c r="B42" s="26"/>
      <c r="C42" s="26"/>
      <c r="D42" s="26"/>
      <c r="E42" s="26"/>
      <c r="F42" s="26"/>
      <c r="L42" s="26">
        <v>39</v>
      </c>
      <c r="M42" t="s">
        <v>281</v>
      </c>
      <c r="N42" s="1" t="str">
        <f t="shared" si="0"/>
        <v/>
      </c>
      <c r="O42" s="31"/>
      <c r="P42" s="34" t="str">
        <f t="shared" si="1"/>
        <v/>
      </c>
      <c r="R42" t="s">
        <v>281</v>
      </c>
      <c r="S42" s="1" t="str">
        <f t="shared" si="5"/>
        <v/>
      </c>
      <c r="T42" s="1"/>
      <c r="U42" s="35" t="str">
        <f t="shared" si="2"/>
        <v/>
      </c>
    </row>
    <row r="43" spans="1:21" x14ac:dyDescent="0.25">
      <c r="A43" s="26"/>
      <c r="B43" s="26"/>
      <c r="C43" s="26"/>
      <c r="D43" s="26"/>
      <c r="E43" s="26"/>
      <c r="F43" s="26"/>
      <c r="L43" s="26">
        <v>40</v>
      </c>
      <c r="M43" t="s">
        <v>280</v>
      </c>
      <c r="N43" s="1" t="str">
        <f t="shared" si="0"/>
        <v/>
      </c>
      <c r="O43" s="31"/>
      <c r="P43" s="34" t="str">
        <f t="shared" si="1"/>
        <v/>
      </c>
      <c r="R43" t="s">
        <v>280</v>
      </c>
      <c r="S43" s="1" t="str">
        <f t="shared" si="5"/>
        <v/>
      </c>
      <c r="T43" s="1"/>
      <c r="U43" s="35" t="str">
        <f t="shared" si="2"/>
        <v/>
      </c>
    </row>
    <row r="44" spans="1:21" x14ac:dyDescent="0.25">
      <c r="A44" s="26"/>
      <c r="B44" s="26"/>
      <c r="C44" s="26"/>
      <c r="D44" s="26"/>
      <c r="E44" s="26"/>
      <c r="F44" s="26"/>
      <c r="L44" s="26">
        <v>41</v>
      </c>
      <c r="M44" t="s">
        <v>279</v>
      </c>
      <c r="N44" s="1" t="str">
        <f t="shared" si="0"/>
        <v/>
      </c>
      <c r="O44" s="31"/>
      <c r="P44" s="34" t="str">
        <f t="shared" si="1"/>
        <v/>
      </c>
      <c r="R44" t="s">
        <v>279</v>
      </c>
      <c r="S44" s="1" t="str">
        <f t="shared" si="5"/>
        <v/>
      </c>
      <c r="T44" s="1"/>
      <c r="U44" s="35" t="str">
        <f t="shared" si="2"/>
        <v/>
      </c>
    </row>
    <row r="45" spans="1:21" x14ac:dyDescent="0.25">
      <c r="A45" s="26"/>
      <c r="B45" s="26"/>
      <c r="C45" s="26"/>
      <c r="D45" s="26"/>
      <c r="E45" s="26"/>
      <c r="F45" s="26"/>
      <c r="L45" s="26">
        <v>42</v>
      </c>
      <c r="M45" t="s">
        <v>278</v>
      </c>
      <c r="N45" s="1" t="str">
        <f t="shared" si="0"/>
        <v/>
      </c>
      <c r="O45" s="31"/>
      <c r="P45" s="34" t="str">
        <f t="shared" si="1"/>
        <v/>
      </c>
      <c r="R45" t="s">
        <v>278</v>
      </c>
      <c r="S45" s="1" t="str">
        <f t="shared" si="5"/>
        <v/>
      </c>
      <c r="T45" s="1"/>
      <c r="U45" s="35" t="str">
        <f t="shared" si="2"/>
        <v/>
      </c>
    </row>
    <row r="46" spans="1:21" x14ac:dyDescent="0.25">
      <c r="A46" s="26"/>
      <c r="B46" s="26"/>
      <c r="C46" s="26"/>
      <c r="D46" s="26"/>
      <c r="E46" s="26"/>
      <c r="F46" s="26"/>
      <c r="L46" s="26">
        <v>43</v>
      </c>
      <c r="M46" t="s">
        <v>277</v>
      </c>
      <c r="N46" s="1" t="str">
        <f t="shared" si="0"/>
        <v/>
      </c>
      <c r="O46" s="31"/>
      <c r="P46" s="34" t="str">
        <f t="shared" si="1"/>
        <v/>
      </c>
      <c r="R46" t="s">
        <v>277</v>
      </c>
      <c r="S46" s="1" t="str">
        <f t="shared" si="5"/>
        <v/>
      </c>
      <c r="T46" s="1"/>
      <c r="U46" s="35" t="str">
        <f t="shared" si="2"/>
        <v/>
      </c>
    </row>
    <row r="47" spans="1:21" x14ac:dyDescent="0.25">
      <c r="A47" s="26"/>
      <c r="B47" s="26"/>
      <c r="C47" s="26"/>
      <c r="D47" s="26"/>
      <c r="E47" s="26"/>
      <c r="F47" s="26"/>
      <c r="L47" s="26">
        <v>44</v>
      </c>
      <c r="M47" t="s">
        <v>276</v>
      </c>
      <c r="N47" s="1" t="str">
        <f t="shared" si="0"/>
        <v/>
      </c>
      <c r="O47" s="31"/>
      <c r="P47" s="34" t="str">
        <f t="shared" si="1"/>
        <v/>
      </c>
      <c r="R47" t="s">
        <v>276</v>
      </c>
      <c r="S47" s="1" t="str">
        <f t="shared" si="5"/>
        <v/>
      </c>
      <c r="T47" s="1"/>
      <c r="U47" s="35" t="str">
        <f t="shared" si="2"/>
        <v/>
      </c>
    </row>
    <row r="48" spans="1:21" x14ac:dyDescent="0.25">
      <c r="A48" s="26"/>
      <c r="B48" s="26"/>
      <c r="C48" s="26"/>
      <c r="D48" s="26"/>
      <c r="E48" s="26"/>
      <c r="F48" s="26"/>
      <c r="L48" s="26">
        <v>45</v>
      </c>
      <c r="M48" t="s">
        <v>275</v>
      </c>
      <c r="N48" s="1" t="str">
        <f t="shared" si="0"/>
        <v/>
      </c>
      <c r="O48" s="31"/>
      <c r="P48" s="34" t="str">
        <f t="shared" si="1"/>
        <v/>
      </c>
      <c r="R48" t="s">
        <v>275</v>
      </c>
      <c r="S48" s="1" t="str">
        <f t="shared" si="5"/>
        <v/>
      </c>
      <c r="T48" s="1"/>
      <c r="U48" s="35" t="str">
        <f t="shared" si="2"/>
        <v/>
      </c>
    </row>
    <row r="49" spans="1:21" x14ac:dyDescent="0.25">
      <c r="A49" s="26"/>
      <c r="B49" s="26"/>
      <c r="C49" s="26"/>
      <c r="D49" s="26"/>
      <c r="E49" s="26"/>
      <c r="F49" s="26"/>
      <c r="L49" s="26">
        <v>46</v>
      </c>
      <c r="M49" t="s">
        <v>274</v>
      </c>
      <c r="N49" s="1" t="str">
        <f t="shared" si="0"/>
        <v/>
      </c>
      <c r="O49" s="31"/>
      <c r="P49" s="34" t="str">
        <f t="shared" si="1"/>
        <v/>
      </c>
      <c r="R49" t="s">
        <v>274</v>
      </c>
      <c r="S49" s="1" t="str">
        <f t="shared" si="5"/>
        <v/>
      </c>
      <c r="T49" s="1"/>
      <c r="U49" s="35" t="str">
        <f t="shared" si="2"/>
        <v/>
      </c>
    </row>
    <row r="50" spans="1:21" x14ac:dyDescent="0.25">
      <c r="A50" s="26"/>
      <c r="B50" s="26"/>
      <c r="C50" s="26"/>
      <c r="D50" s="26"/>
      <c r="E50" s="26"/>
      <c r="F50" s="26"/>
      <c r="L50" s="26">
        <v>47</v>
      </c>
      <c r="M50" t="s">
        <v>273</v>
      </c>
      <c r="N50" s="1" t="str">
        <f t="shared" si="0"/>
        <v/>
      </c>
      <c r="O50" s="31"/>
      <c r="P50" s="34" t="str">
        <f t="shared" si="1"/>
        <v/>
      </c>
      <c r="R50" t="s">
        <v>273</v>
      </c>
      <c r="S50" s="1" t="str">
        <f t="shared" si="5"/>
        <v/>
      </c>
      <c r="T50" s="1"/>
      <c r="U50" s="35" t="str">
        <f t="shared" si="2"/>
        <v/>
      </c>
    </row>
    <row r="51" spans="1:21" x14ac:dyDescent="0.25">
      <c r="A51" s="26"/>
      <c r="B51" s="26"/>
      <c r="C51" s="26"/>
      <c r="D51" s="26"/>
      <c r="E51" s="26"/>
      <c r="F51" s="26"/>
      <c r="L51" s="26">
        <v>48</v>
      </c>
      <c r="M51" t="s">
        <v>272</v>
      </c>
      <c r="N51" s="1" t="str">
        <f t="shared" si="0"/>
        <v/>
      </c>
      <c r="O51" s="31"/>
      <c r="P51" s="34" t="str">
        <f t="shared" si="1"/>
        <v/>
      </c>
      <c r="R51" t="s">
        <v>272</v>
      </c>
      <c r="S51" s="1" t="str">
        <f t="shared" si="5"/>
        <v/>
      </c>
      <c r="T51" s="1"/>
      <c r="U51" s="35" t="str">
        <f t="shared" si="2"/>
        <v/>
      </c>
    </row>
    <row r="52" spans="1:21" x14ac:dyDescent="0.25">
      <c r="A52" s="26"/>
      <c r="B52" s="26"/>
      <c r="C52" s="26"/>
      <c r="D52" s="26"/>
      <c r="E52" s="26"/>
      <c r="F52" s="26"/>
      <c r="L52" s="26">
        <v>49</v>
      </c>
      <c r="M52" t="s">
        <v>271</v>
      </c>
      <c r="N52" s="1" t="str">
        <f t="shared" si="0"/>
        <v/>
      </c>
      <c r="O52" s="31"/>
      <c r="P52" s="34" t="str">
        <f t="shared" si="1"/>
        <v/>
      </c>
      <c r="R52" t="s">
        <v>271</v>
      </c>
      <c r="S52" s="1" t="str">
        <f t="shared" si="5"/>
        <v/>
      </c>
      <c r="T52" s="1"/>
      <c r="U52" s="35" t="str">
        <f t="shared" si="2"/>
        <v/>
      </c>
    </row>
    <row r="53" spans="1:21" x14ac:dyDescent="0.25">
      <c r="A53" s="26"/>
      <c r="B53" s="26"/>
      <c r="C53" s="26"/>
      <c r="D53" s="26"/>
      <c r="E53" s="26"/>
      <c r="F53" s="26"/>
      <c r="L53" s="26">
        <v>50</v>
      </c>
      <c r="M53" t="s">
        <v>270</v>
      </c>
      <c r="N53" s="1" t="str">
        <f t="shared" si="0"/>
        <v/>
      </c>
      <c r="O53" s="31"/>
      <c r="P53" s="34" t="str">
        <f t="shared" si="1"/>
        <v/>
      </c>
      <c r="R53" t="s">
        <v>270</v>
      </c>
      <c r="S53" s="1" t="str">
        <f t="shared" si="5"/>
        <v/>
      </c>
      <c r="T53" s="1"/>
      <c r="U53" s="35" t="str">
        <f t="shared" si="2"/>
        <v/>
      </c>
    </row>
    <row r="54" spans="1:21" x14ac:dyDescent="0.25">
      <c r="A54" s="26"/>
      <c r="B54" s="26"/>
      <c r="C54" s="26"/>
      <c r="D54" s="26"/>
      <c r="E54" s="26"/>
      <c r="F54" s="26"/>
      <c r="L54" s="26">
        <v>51</v>
      </c>
      <c r="M54" t="s">
        <v>269</v>
      </c>
      <c r="N54" s="1" t="str">
        <f t="shared" si="0"/>
        <v/>
      </c>
      <c r="O54" s="31"/>
      <c r="P54" s="34" t="str">
        <f t="shared" si="1"/>
        <v/>
      </c>
      <c r="R54" t="s">
        <v>269</v>
      </c>
      <c r="S54" s="1" t="str">
        <f t="shared" si="5"/>
        <v/>
      </c>
      <c r="T54" s="1"/>
      <c r="U54" s="35" t="str">
        <f t="shared" si="2"/>
        <v/>
      </c>
    </row>
    <row r="55" spans="1:21" x14ac:dyDescent="0.25">
      <c r="A55" s="26"/>
      <c r="B55" s="26"/>
      <c r="C55" s="26"/>
      <c r="D55" s="26"/>
      <c r="E55" s="26"/>
      <c r="F55" s="26"/>
      <c r="L55" s="26">
        <v>52</v>
      </c>
      <c r="M55" t="s">
        <v>268</v>
      </c>
      <c r="N55" s="1" t="str">
        <f t="shared" si="0"/>
        <v/>
      </c>
      <c r="O55" s="31"/>
      <c r="P55" s="34" t="str">
        <f t="shared" si="1"/>
        <v/>
      </c>
      <c r="R55" t="s">
        <v>268</v>
      </c>
      <c r="S55" s="1" t="str">
        <f t="shared" si="5"/>
        <v/>
      </c>
      <c r="T55" s="1"/>
      <c r="U55" s="35" t="str">
        <f t="shared" si="2"/>
        <v/>
      </c>
    </row>
    <row r="56" spans="1:21" x14ac:dyDescent="0.25">
      <c r="A56" s="26"/>
      <c r="B56" s="26"/>
      <c r="C56" s="26"/>
      <c r="D56" s="26"/>
      <c r="E56" s="26"/>
      <c r="F56" s="26"/>
      <c r="L56" s="26">
        <v>53</v>
      </c>
      <c r="M56" t="s">
        <v>267</v>
      </c>
      <c r="N56" s="1" t="str">
        <f t="shared" si="0"/>
        <v/>
      </c>
      <c r="O56" s="31"/>
      <c r="P56" s="34" t="str">
        <f t="shared" si="1"/>
        <v/>
      </c>
      <c r="R56" t="s">
        <v>267</v>
      </c>
      <c r="S56" s="1" t="str">
        <f t="shared" si="5"/>
        <v/>
      </c>
      <c r="T56" s="1"/>
      <c r="U56" s="35" t="str">
        <f t="shared" si="2"/>
        <v/>
      </c>
    </row>
    <row r="57" spans="1:21" x14ac:dyDescent="0.25">
      <c r="A57" s="26"/>
      <c r="B57" s="26"/>
      <c r="C57" s="26"/>
      <c r="D57" s="26"/>
      <c r="E57" s="26"/>
      <c r="F57" s="26"/>
      <c r="L57" s="26">
        <v>54</v>
      </c>
      <c r="M57" t="s">
        <v>266</v>
      </c>
      <c r="N57" s="1" t="str">
        <f t="shared" si="0"/>
        <v/>
      </c>
      <c r="O57" s="31"/>
      <c r="P57" s="34" t="str">
        <f t="shared" si="1"/>
        <v/>
      </c>
      <c r="R57" t="s">
        <v>266</v>
      </c>
      <c r="S57" s="1" t="str">
        <f t="shared" si="5"/>
        <v/>
      </c>
      <c r="T57" s="1"/>
      <c r="U57" s="35" t="str">
        <f t="shared" si="2"/>
        <v/>
      </c>
    </row>
    <row r="58" spans="1:21" x14ac:dyDescent="0.25">
      <c r="A58" s="26"/>
      <c r="B58" s="26"/>
      <c r="C58" s="26"/>
      <c r="D58" s="26"/>
      <c r="E58" s="26"/>
      <c r="F58" s="26"/>
      <c r="L58" s="26">
        <v>55</v>
      </c>
      <c r="M58" t="s">
        <v>265</v>
      </c>
      <c r="N58" s="1" t="str">
        <f t="shared" si="0"/>
        <v/>
      </c>
      <c r="O58" s="31"/>
      <c r="P58" s="34" t="str">
        <f t="shared" si="1"/>
        <v/>
      </c>
      <c r="R58" t="s">
        <v>265</v>
      </c>
      <c r="S58" s="1" t="str">
        <f t="shared" si="5"/>
        <v/>
      </c>
      <c r="T58" s="1"/>
      <c r="U58" s="35" t="str">
        <f t="shared" si="2"/>
        <v/>
      </c>
    </row>
    <row r="59" spans="1:21" x14ac:dyDescent="0.25">
      <c r="A59" s="26"/>
      <c r="B59" s="26"/>
      <c r="C59" s="26"/>
      <c r="D59" s="26"/>
      <c r="E59" s="26"/>
      <c r="F59" s="26"/>
      <c r="L59" s="26">
        <v>56</v>
      </c>
      <c r="M59" t="s">
        <v>264</v>
      </c>
      <c r="N59" s="1" t="str">
        <f t="shared" si="0"/>
        <v/>
      </c>
      <c r="O59" s="31"/>
      <c r="P59" s="34" t="str">
        <f t="shared" si="1"/>
        <v/>
      </c>
      <c r="R59" t="s">
        <v>264</v>
      </c>
      <c r="S59" s="1" t="str">
        <f t="shared" si="5"/>
        <v/>
      </c>
      <c r="T59" s="1"/>
      <c r="U59" s="35" t="str">
        <f t="shared" si="2"/>
        <v/>
      </c>
    </row>
    <row r="60" spans="1:21" x14ac:dyDescent="0.25">
      <c r="A60" s="26"/>
      <c r="B60" s="26"/>
      <c r="C60" s="26"/>
      <c r="D60" s="26"/>
      <c r="E60" s="26"/>
      <c r="F60" s="26"/>
      <c r="L60" s="26">
        <v>57</v>
      </c>
      <c r="M60" t="s">
        <v>263</v>
      </c>
      <c r="N60" s="1" t="str">
        <f t="shared" si="0"/>
        <v/>
      </c>
      <c r="O60" s="31"/>
      <c r="P60" s="34" t="str">
        <f t="shared" si="1"/>
        <v/>
      </c>
      <c r="R60" t="s">
        <v>263</v>
      </c>
      <c r="S60" s="1" t="str">
        <f t="shared" si="5"/>
        <v/>
      </c>
      <c r="T60" s="1"/>
      <c r="U60" s="35" t="str">
        <f t="shared" si="2"/>
        <v/>
      </c>
    </row>
    <row r="61" spans="1:21" x14ac:dyDescent="0.25">
      <c r="A61" s="26"/>
      <c r="B61" s="26"/>
      <c r="C61" s="26"/>
      <c r="D61" s="26"/>
      <c r="E61" s="26"/>
      <c r="F61" s="26"/>
      <c r="L61" s="26">
        <v>58</v>
      </c>
      <c r="M61" t="s">
        <v>262</v>
      </c>
      <c r="N61" s="1" t="str">
        <f t="shared" si="0"/>
        <v/>
      </c>
      <c r="O61" s="31"/>
      <c r="P61" s="34" t="str">
        <f t="shared" si="1"/>
        <v/>
      </c>
      <c r="R61" t="s">
        <v>262</v>
      </c>
      <c r="S61" s="1" t="str">
        <f t="shared" si="5"/>
        <v/>
      </c>
      <c r="T61" s="1"/>
      <c r="U61" s="35" t="str">
        <f t="shared" si="2"/>
        <v/>
      </c>
    </row>
    <row r="62" spans="1:21" x14ac:dyDescent="0.25">
      <c r="A62" s="26"/>
      <c r="B62" s="26"/>
      <c r="C62" s="26"/>
      <c r="D62" s="26"/>
      <c r="E62" s="26"/>
      <c r="F62" s="26"/>
      <c r="L62" s="26">
        <v>59</v>
      </c>
      <c r="M62" t="s">
        <v>261</v>
      </c>
      <c r="N62" s="1" t="str">
        <f t="shared" si="0"/>
        <v/>
      </c>
      <c r="O62" s="31"/>
      <c r="P62" s="34" t="str">
        <f t="shared" si="1"/>
        <v/>
      </c>
      <c r="R62" t="s">
        <v>261</v>
      </c>
      <c r="S62" s="1" t="str">
        <f t="shared" si="5"/>
        <v/>
      </c>
      <c r="T62" s="1"/>
      <c r="U62" s="35" t="str">
        <f t="shared" si="2"/>
        <v/>
      </c>
    </row>
    <row r="63" spans="1:21" x14ac:dyDescent="0.25">
      <c r="A63" s="26"/>
      <c r="B63" s="26"/>
      <c r="C63" s="26"/>
      <c r="D63" s="26"/>
      <c r="E63" s="26"/>
      <c r="F63" s="26"/>
      <c r="L63" s="26">
        <v>60</v>
      </c>
      <c r="M63" t="s">
        <v>260</v>
      </c>
      <c r="N63" s="1" t="str">
        <f t="shared" si="0"/>
        <v/>
      </c>
      <c r="O63" s="31"/>
      <c r="P63" s="34" t="str">
        <f t="shared" si="1"/>
        <v/>
      </c>
      <c r="R63" t="s">
        <v>260</v>
      </c>
      <c r="S63" s="1" t="str">
        <f t="shared" si="5"/>
        <v/>
      </c>
      <c r="T63" s="1"/>
      <c r="U63" s="35" t="str">
        <f t="shared" si="2"/>
        <v/>
      </c>
    </row>
    <row r="64" spans="1:21" x14ac:dyDescent="0.25">
      <c r="A64" s="26"/>
      <c r="B64" s="26"/>
      <c r="C64" s="26"/>
      <c r="D64" s="26"/>
      <c r="E64" s="26"/>
      <c r="F64" s="26"/>
      <c r="L64" s="26">
        <v>61</v>
      </c>
      <c r="M64" t="s">
        <v>259</v>
      </c>
      <c r="N64" s="1" t="str">
        <f t="shared" si="0"/>
        <v/>
      </c>
      <c r="O64" s="31"/>
      <c r="P64" s="34" t="str">
        <f t="shared" si="1"/>
        <v/>
      </c>
      <c r="R64" t="s">
        <v>259</v>
      </c>
      <c r="S64" s="1" t="str">
        <f t="shared" si="5"/>
        <v/>
      </c>
      <c r="T64" s="1"/>
      <c r="U64" s="35" t="str">
        <f t="shared" si="2"/>
        <v/>
      </c>
    </row>
    <row r="65" spans="1:21" x14ac:dyDescent="0.25">
      <c r="A65" s="26"/>
      <c r="B65" s="26"/>
      <c r="C65" s="26"/>
      <c r="D65" s="26"/>
      <c r="E65" s="26"/>
      <c r="F65" s="26"/>
      <c r="L65" s="26">
        <v>62</v>
      </c>
      <c r="M65" t="s">
        <v>258</v>
      </c>
      <c r="N65" s="1" t="str">
        <f t="shared" si="0"/>
        <v/>
      </c>
      <c r="O65" s="31"/>
      <c r="P65" s="34" t="str">
        <f t="shared" si="1"/>
        <v/>
      </c>
      <c r="R65" t="s">
        <v>258</v>
      </c>
      <c r="S65" s="1" t="str">
        <f t="shared" si="5"/>
        <v/>
      </c>
      <c r="T65" s="1"/>
      <c r="U65" s="35" t="str">
        <f t="shared" si="2"/>
        <v/>
      </c>
    </row>
    <row r="66" spans="1:21" x14ac:dyDescent="0.25">
      <c r="A66" s="26"/>
      <c r="B66" s="26"/>
      <c r="C66" s="26"/>
      <c r="D66" s="26"/>
      <c r="E66" s="26"/>
      <c r="F66" s="26"/>
      <c r="L66" s="26">
        <v>63</v>
      </c>
      <c r="M66" t="s">
        <v>257</v>
      </c>
      <c r="N66" s="1" t="str">
        <f t="shared" si="0"/>
        <v/>
      </c>
      <c r="O66" s="31"/>
      <c r="P66" s="34" t="str">
        <f t="shared" si="1"/>
        <v/>
      </c>
      <c r="R66" t="s">
        <v>257</v>
      </c>
      <c r="S66" s="1" t="str">
        <f t="shared" si="5"/>
        <v/>
      </c>
      <c r="T66" s="1"/>
      <c r="U66" s="35" t="str">
        <f t="shared" si="2"/>
        <v/>
      </c>
    </row>
    <row r="67" spans="1:21" x14ac:dyDescent="0.25">
      <c r="A67" s="26"/>
      <c r="B67" s="26"/>
      <c r="C67" s="26"/>
      <c r="D67" s="26"/>
      <c r="E67" s="26"/>
      <c r="F67" s="26"/>
      <c r="L67" s="26">
        <v>64</v>
      </c>
      <c r="M67" t="s">
        <v>256</v>
      </c>
      <c r="N67" s="1" t="str">
        <f t="shared" si="0"/>
        <v/>
      </c>
      <c r="O67" s="31"/>
      <c r="P67" s="34" t="str">
        <f t="shared" si="1"/>
        <v/>
      </c>
      <c r="R67" t="s">
        <v>256</v>
      </c>
      <c r="S67" s="1" t="str">
        <f t="shared" si="5"/>
        <v/>
      </c>
      <c r="T67" s="1"/>
      <c r="U67" s="35" t="str">
        <f t="shared" si="2"/>
        <v/>
      </c>
    </row>
    <row r="68" spans="1:21" x14ac:dyDescent="0.25">
      <c r="A68" s="26"/>
      <c r="B68" s="26"/>
      <c r="C68" s="26"/>
      <c r="D68" s="26"/>
      <c r="E68" s="26"/>
      <c r="F68" s="26"/>
      <c r="L68" s="26">
        <v>65</v>
      </c>
      <c r="M68" t="s">
        <v>255</v>
      </c>
      <c r="N68" s="1" t="str">
        <f t="shared" si="0"/>
        <v/>
      </c>
      <c r="O68" s="31"/>
      <c r="P68" s="34" t="str">
        <f t="shared" si="1"/>
        <v/>
      </c>
      <c r="R68" t="s">
        <v>255</v>
      </c>
      <c r="S68" s="1" t="str">
        <f t="shared" si="5"/>
        <v/>
      </c>
      <c r="T68" s="1"/>
      <c r="U68" s="35" t="str">
        <f t="shared" si="2"/>
        <v/>
      </c>
    </row>
    <row r="69" spans="1:21" x14ac:dyDescent="0.25">
      <c r="A69" s="26"/>
      <c r="B69" s="26"/>
      <c r="C69" s="26"/>
      <c r="D69" s="26"/>
      <c r="E69" s="26"/>
      <c r="F69" s="26"/>
      <c r="L69" s="26">
        <v>66</v>
      </c>
      <c r="M69" t="s">
        <v>254</v>
      </c>
      <c r="N69" s="1" t="str">
        <f t="shared" ref="N69:N132" si="6">IF(L69&gt;$I$2,"",F69/$D$3-1)</f>
        <v/>
      </c>
      <c r="O69" s="31"/>
      <c r="P69" s="34" t="str">
        <f t="shared" ref="P69:P132" si="7">IF(AND(L69&lt;=$I$2,N69&lt;= -0.1),1,"")</f>
        <v/>
      </c>
      <c r="R69" t="s">
        <v>254</v>
      </c>
      <c r="S69" s="1" t="str">
        <f t="shared" si="5"/>
        <v/>
      </c>
      <c r="T69" s="1"/>
      <c r="U69" s="35" t="str">
        <f t="shared" ref="U69:U132" si="8">IF(AND(L69&lt;=$I$2,S69&gt;=0.2),1,"")</f>
        <v/>
      </c>
    </row>
    <row r="70" spans="1:21" x14ac:dyDescent="0.25">
      <c r="A70" s="26"/>
      <c r="B70" s="26"/>
      <c r="C70" s="26"/>
      <c r="D70" s="26"/>
      <c r="E70" s="26"/>
      <c r="F70" s="26"/>
      <c r="L70" s="26">
        <v>67</v>
      </c>
      <c r="M70" t="s">
        <v>253</v>
      </c>
      <c r="N70" s="1" t="str">
        <f t="shared" si="6"/>
        <v/>
      </c>
      <c r="O70" s="31"/>
      <c r="P70" s="34" t="str">
        <f t="shared" si="7"/>
        <v/>
      </c>
      <c r="R70" t="s">
        <v>253</v>
      </c>
      <c r="S70" s="1" t="str">
        <f t="shared" si="5"/>
        <v/>
      </c>
      <c r="T70" s="1"/>
      <c r="U70" s="35" t="str">
        <f t="shared" si="8"/>
        <v/>
      </c>
    </row>
    <row r="71" spans="1:21" x14ac:dyDescent="0.25">
      <c r="A71" s="26"/>
      <c r="B71" s="26"/>
      <c r="C71" s="26"/>
      <c r="D71" s="26"/>
      <c r="E71" s="26"/>
      <c r="F71" s="26"/>
      <c r="L71" s="26">
        <v>68</v>
      </c>
      <c r="M71" t="s">
        <v>252</v>
      </c>
      <c r="N71" s="1" t="str">
        <f t="shared" si="6"/>
        <v/>
      </c>
      <c r="O71" s="31"/>
      <c r="P71" s="34" t="str">
        <f t="shared" si="7"/>
        <v/>
      </c>
      <c r="R71" t="s">
        <v>252</v>
      </c>
      <c r="S71" s="1" t="str">
        <f t="shared" si="5"/>
        <v/>
      </c>
      <c r="T71" s="1"/>
      <c r="U71" s="35" t="str">
        <f t="shared" si="8"/>
        <v/>
      </c>
    </row>
    <row r="72" spans="1:21" x14ac:dyDescent="0.25">
      <c r="A72" s="26"/>
      <c r="B72" s="26"/>
      <c r="C72" s="26"/>
      <c r="D72" s="26"/>
      <c r="E72" s="26"/>
      <c r="F72" s="26"/>
      <c r="L72" s="26">
        <v>69</v>
      </c>
      <c r="M72" t="s">
        <v>251</v>
      </c>
      <c r="N72" s="1" t="str">
        <f t="shared" si="6"/>
        <v/>
      </c>
      <c r="O72" s="31"/>
      <c r="P72" s="34" t="str">
        <f t="shared" si="7"/>
        <v/>
      </c>
      <c r="R72" t="s">
        <v>251</v>
      </c>
      <c r="S72" s="1" t="str">
        <f t="shared" si="5"/>
        <v/>
      </c>
      <c r="T72" s="1"/>
      <c r="U72" s="35" t="str">
        <f t="shared" si="8"/>
        <v/>
      </c>
    </row>
    <row r="73" spans="1:21" x14ac:dyDescent="0.25">
      <c r="A73" s="26"/>
      <c r="B73" s="26"/>
      <c r="C73" s="26"/>
      <c r="D73" s="26"/>
      <c r="E73" s="26"/>
      <c r="F73" s="26"/>
      <c r="L73" s="26">
        <v>70</v>
      </c>
      <c r="M73" t="s">
        <v>250</v>
      </c>
      <c r="N73" s="1" t="str">
        <f t="shared" si="6"/>
        <v/>
      </c>
      <c r="O73" s="31"/>
      <c r="P73" s="34" t="str">
        <f t="shared" si="7"/>
        <v/>
      </c>
      <c r="R73" t="s">
        <v>250</v>
      </c>
      <c r="S73" s="1" t="str">
        <f t="shared" si="5"/>
        <v/>
      </c>
      <c r="T73" s="1"/>
      <c r="U73" s="35" t="str">
        <f t="shared" si="8"/>
        <v/>
      </c>
    </row>
    <row r="74" spans="1:21" x14ac:dyDescent="0.25">
      <c r="A74" s="26"/>
      <c r="B74" s="26"/>
      <c r="C74" s="26"/>
      <c r="D74" s="26"/>
      <c r="E74" s="26"/>
      <c r="F74" s="26"/>
      <c r="L74" s="26">
        <v>71</v>
      </c>
      <c r="M74" t="s">
        <v>249</v>
      </c>
      <c r="N74" s="1" t="str">
        <f t="shared" si="6"/>
        <v/>
      </c>
      <c r="O74" s="31"/>
      <c r="P74" s="34" t="str">
        <f t="shared" si="7"/>
        <v/>
      </c>
      <c r="R74" t="s">
        <v>249</v>
      </c>
      <c r="S74" s="1" t="str">
        <f t="shared" si="5"/>
        <v/>
      </c>
      <c r="T74" s="1"/>
      <c r="U74" s="35" t="str">
        <f t="shared" si="8"/>
        <v/>
      </c>
    </row>
    <row r="75" spans="1:21" x14ac:dyDescent="0.25">
      <c r="A75" s="26"/>
      <c r="B75" s="26"/>
      <c r="C75" s="26"/>
      <c r="D75" s="26"/>
      <c r="E75" s="26"/>
      <c r="F75" s="26"/>
      <c r="L75" s="26">
        <v>72</v>
      </c>
      <c r="M75" t="s">
        <v>248</v>
      </c>
      <c r="N75" s="1" t="str">
        <f t="shared" si="6"/>
        <v/>
      </c>
      <c r="O75" s="31"/>
      <c r="P75" s="34" t="str">
        <f t="shared" si="7"/>
        <v/>
      </c>
      <c r="R75" t="s">
        <v>248</v>
      </c>
      <c r="S75" s="1" t="str">
        <f t="shared" si="5"/>
        <v/>
      </c>
      <c r="T75" s="1"/>
      <c r="U75" s="35" t="str">
        <f t="shared" si="8"/>
        <v/>
      </c>
    </row>
    <row r="76" spans="1:21" x14ac:dyDescent="0.25">
      <c r="A76" s="26"/>
      <c r="B76" s="26"/>
      <c r="C76" s="26"/>
      <c r="D76" s="26"/>
      <c r="E76" s="26"/>
      <c r="F76" s="26"/>
      <c r="L76" s="26">
        <v>73</v>
      </c>
      <c r="M76" t="s">
        <v>247</v>
      </c>
      <c r="N76" s="1" t="str">
        <f t="shared" si="6"/>
        <v/>
      </c>
      <c r="O76" s="31"/>
      <c r="P76" s="34" t="str">
        <f t="shared" si="7"/>
        <v/>
      </c>
      <c r="R76" t="s">
        <v>247</v>
      </c>
      <c r="S76" s="1" t="str">
        <f t="shared" si="5"/>
        <v/>
      </c>
      <c r="T76" s="1"/>
      <c r="U76" s="35" t="str">
        <f t="shared" si="8"/>
        <v/>
      </c>
    </row>
    <row r="77" spans="1:21" x14ac:dyDescent="0.25">
      <c r="A77" s="26"/>
      <c r="B77" s="26"/>
      <c r="C77" s="26"/>
      <c r="D77" s="26"/>
      <c r="E77" s="26"/>
      <c r="F77" s="26"/>
      <c r="L77" s="26">
        <v>74</v>
      </c>
      <c r="M77" t="s">
        <v>246</v>
      </c>
      <c r="N77" s="1" t="str">
        <f t="shared" si="6"/>
        <v/>
      </c>
      <c r="O77" s="31"/>
      <c r="P77" s="34" t="str">
        <f t="shared" si="7"/>
        <v/>
      </c>
      <c r="R77" t="s">
        <v>246</v>
      </c>
      <c r="S77" s="1" t="str">
        <f t="shared" si="5"/>
        <v/>
      </c>
      <c r="T77" s="1"/>
      <c r="U77" s="35" t="str">
        <f t="shared" si="8"/>
        <v/>
      </c>
    </row>
    <row r="78" spans="1:21" x14ac:dyDescent="0.25">
      <c r="A78" s="26"/>
      <c r="B78" s="26"/>
      <c r="C78" s="26"/>
      <c r="D78" s="26"/>
      <c r="E78" s="26"/>
      <c r="F78" s="26"/>
      <c r="L78" s="26">
        <v>75</v>
      </c>
      <c r="M78" t="s">
        <v>245</v>
      </c>
      <c r="N78" s="1" t="str">
        <f t="shared" si="6"/>
        <v/>
      </c>
      <c r="O78" s="31"/>
      <c r="P78" s="34" t="str">
        <f t="shared" si="7"/>
        <v/>
      </c>
      <c r="R78" t="s">
        <v>245</v>
      </c>
      <c r="S78" s="1" t="str">
        <f t="shared" si="5"/>
        <v/>
      </c>
      <c r="T78" s="1"/>
      <c r="U78" s="35" t="str">
        <f t="shared" si="8"/>
        <v/>
      </c>
    </row>
    <row r="79" spans="1:21" x14ac:dyDescent="0.25">
      <c r="A79" s="26"/>
      <c r="B79" s="26"/>
      <c r="C79" s="26"/>
      <c r="D79" s="26"/>
      <c r="E79" s="26"/>
      <c r="F79" s="26"/>
      <c r="L79" s="26">
        <v>76</v>
      </c>
      <c r="M79" t="s">
        <v>244</v>
      </c>
      <c r="N79" s="1" t="str">
        <f t="shared" si="6"/>
        <v/>
      </c>
      <c r="O79" s="31"/>
      <c r="P79" s="34" t="str">
        <f t="shared" si="7"/>
        <v/>
      </c>
      <c r="R79" t="s">
        <v>244</v>
      </c>
      <c r="S79" s="1" t="str">
        <f t="shared" si="5"/>
        <v/>
      </c>
      <c r="T79" s="1"/>
      <c r="U79" s="35" t="str">
        <f t="shared" si="8"/>
        <v/>
      </c>
    </row>
    <row r="80" spans="1:21" x14ac:dyDescent="0.25">
      <c r="A80" s="26"/>
      <c r="B80" s="26"/>
      <c r="C80" s="26"/>
      <c r="D80" s="26"/>
      <c r="E80" s="26"/>
      <c r="F80" s="26"/>
      <c r="L80" s="26">
        <v>77</v>
      </c>
      <c r="M80" t="s">
        <v>243</v>
      </c>
      <c r="N80" s="1" t="str">
        <f t="shared" si="6"/>
        <v/>
      </c>
      <c r="O80" s="31"/>
      <c r="P80" s="34" t="str">
        <f t="shared" si="7"/>
        <v/>
      </c>
      <c r="R80" t="s">
        <v>243</v>
      </c>
      <c r="S80" s="1" t="str">
        <f t="shared" si="5"/>
        <v/>
      </c>
      <c r="T80" s="1"/>
      <c r="U80" s="35" t="str">
        <f t="shared" si="8"/>
        <v/>
      </c>
    </row>
    <row r="81" spans="1:21" x14ac:dyDescent="0.25">
      <c r="A81" s="26"/>
      <c r="B81" s="26"/>
      <c r="C81" s="26"/>
      <c r="D81" s="26"/>
      <c r="E81" s="26"/>
      <c r="F81" s="26"/>
      <c r="L81" s="26">
        <v>78</v>
      </c>
      <c r="M81" t="s">
        <v>242</v>
      </c>
      <c r="N81" s="1" t="str">
        <f t="shared" si="6"/>
        <v/>
      </c>
      <c r="O81" s="31"/>
      <c r="P81" s="34" t="str">
        <f t="shared" si="7"/>
        <v/>
      </c>
      <c r="R81" t="s">
        <v>242</v>
      </c>
      <c r="S81" s="1" t="str">
        <f t="shared" si="5"/>
        <v/>
      </c>
      <c r="T81" s="1"/>
      <c r="U81" s="35" t="str">
        <f t="shared" si="8"/>
        <v/>
      </c>
    </row>
    <row r="82" spans="1:21" x14ac:dyDescent="0.25">
      <c r="A82" s="26"/>
      <c r="B82" s="26"/>
      <c r="C82" s="26"/>
      <c r="D82" s="26"/>
      <c r="E82" s="26"/>
      <c r="F82" s="26"/>
      <c r="L82" s="26">
        <v>79</v>
      </c>
      <c r="M82" t="s">
        <v>241</v>
      </c>
      <c r="N82" s="1" t="str">
        <f t="shared" si="6"/>
        <v/>
      </c>
      <c r="O82" s="31"/>
      <c r="P82" s="34" t="str">
        <f t="shared" si="7"/>
        <v/>
      </c>
      <c r="R82" t="s">
        <v>241</v>
      </c>
      <c r="S82" s="1" t="str">
        <f t="shared" si="5"/>
        <v/>
      </c>
      <c r="T82" s="1"/>
      <c r="U82" s="35" t="str">
        <f t="shared" si="8"/>
        <v/>
      </c>
    </row>
    <row r="83" spans="1:21" x14ac:dyDescent="0.25">
      <c r="A83" s="26"/>
      <c r="B83" s="26"/>
      <c r="C83" s="26"/>
      <c r="D83" s="26"/>
      <c r="E83" s="26"/>
      <c r="F83" s="26"/>
      <c r="L83" s="26">
        <v>80</v>
      </c>
      <c r="M83" t="s">
        <v>240</v>
      </c>
      <c r="N83" s="1" t="str">
        <f t="shared" si="6"/>
        <v/>
      </c>
      <c r="O83" s="31"/>
      <c r="P83" s="34" t="str">
        <f t="shared" si="7"/>
        <v/>
      </c>
      <c r="R83" t="s">
        <v>240</v>
      </c>
      <c r="S83" s="1" t="str">
        <f t="shared" si="5"/>
        <v/>
      </c>
      <c r="T83" s="1"/>
      <c r="U83" s="35" t="str">
        <f t="shared" si="8"/>
        <v/>
      </c>
    </row>
    <row r="84" spans="1:21" x14ac:dyDescent="0.25">
      <c r="A84" s="26"/>
      <c r="B84" s="26"/>
      <c r="C84" s="26"/>
      <c r="D84" s="26"/>
      <c r="E84" s="26"/>
      <c r="F84" s="26"/>
      <c r="L84" s="26">
        <v>81</v>
      </c>
      <c r="M84" t="s">
        <v>239</v>
      </c>
      <c r="N84" s="1" t="str">
        <f t="shared" si="6"/>
        <v/>
      </c>
      <c r="O84" s="31"/>
      <c r="P84" s="34" t="str">
        <f t="shared" si="7"/>
        <v/>
      </c>
      <c r="R84" t="s">
        <v>239</v>
      </c>
      <c r="S84" s="1" t="str">
        <f t="shared" si="5"/>
        <v/>
      </c>
      <c r="T84" s="1"/>
      <c r="U84" s="35" t="str">
        <f t="shared" si="8"/>
        <v/>
      </c>
    </row>
    <row r="85" spans="1:21" x14ac:dyDescent="0.25">
      <c r="A85" s="26"/>
      <c r="B85" s="26"/>
      <c r="C85" s="26"/>
      <c r="D85" s="26"/>
      <c r="E85" s="26"/>
      <c r="F85" s="26"/>
      <c r="L85" s="26">
        <v>82</v>
      </c>
      <c r="M85" t="s">
        <v>238</v>
      </c>
      <c r="N85" s="1" t="str">
        <f t="shared" si="6"/>
        <v/>
      </c>
      <c r="O85" s="31"/>
      <c r="P85" s="34" t="str">
        <f t="shared" si="7"/>
        <v/>
      </c>
      <c r="R85" t="s">
        <v>238</v>
      </c>
      <c r="S85" s="1" t="str">
        <f t="shared" si="5"/>
        <v/>
      </c>
      <c r="T85" s="1"/>
      <c r="U85" s="35" t="str">
        <f t="shared" si="8"/>
        <v/>
      </c>
    </row>
    <row r="86" spans="1:21" x14ac:dyDescent="0.25">
      <c r="A86" s="26"/>
      <c r="B86" s="26"/>
      <c r="C86" s="26"/>
      <c r="D86" s="26"/>
      <c r="E86" s="26"/>
      <c r="F86" s="26"/>
      <c r="L86" s="26">
        <v>83</v>
      </c>
      <c r="M86" t="s">
        <v>237</v>
      </c>
      <c r="N86" s="1" t="str">
        <f t="shared" si="6"/>
        <v/>
      </c>
      <c r="O86" s="31"/>
      <c r="P86" s="34" t="str">
        <f t="shared" si="7"/>
        <v/>
      </c>
      <c r="R86" t="s">
        <v>237</v>
      </c>
      <c r="S86" s="1" t="str">
        <f t="shared" si="5"/>
        <v/>
      </c>
      <c r="T86" s="1"/>
      <c r="U86" s="35" t="str">
        <f t="shared" si="8"/>
        <v/>
      </c>
    </row>
    <row r="87" spans="1:21" x14ac:dyDescent="0.25">
      <c r="A87" s="26"/>
      <c r="B87" s="26"/>
      <c r="C87" s="26"/>
      <c r="D87" s="26"/>
      <c r="E87" s="26"/>
      <c r="F87" s="26"/>
      <c r="L87" s="26">
        <v>84</v>
      </c>
      <c r="M87" t="s">
        <v>236</v>
      </c>
      <c r="N87" s="1" t="str">
        <f t="shared" si="6"/>
        <v/>
      </c>
      <c r="O87" s="31"/>
      <c r="P87" s="34" t="str">
        <f t="shared" si="7"/>
        <v/>
      </c>
      <c r="R87" t="s">
        <v>236</v>
      </c>
      <c r="S87" s="1" t="str">
        <f t="shared" si="5"/>
        <v/>
      </c>
      <c r="T87" s="1"/>
      <c r="U87" s="35" t="str">
        <f t="shared" si="8"/>
        <v/>
      </c>
    </row>
    <row r="88" spans="1:21" x14ac:dyDescent="0.25">
      <c r="A88" s="26"/>
      <c r="B88" s="26"/>
      <c r="C88" s="26"/>
      <c r="D88" s="26"/>
      <c r="E88" s="26"/>
      <c r="F88" s="26"/>
      <c r="L88" s="26">
        <v>85</v>
      </c>
      <c r="M88" t="s">
        <v>235</v>
      </c>
      <c r="N88" s="1" t="str">
        <f t="shared" si="6"/>
        <v/>
      </c>
      <c r="O88" s="31"/>
      <c r="P88" s="34" t="str">
        <f t="shared" si="7"/>
        <v/>
      </c>
      <c r="R88" t="s">
        <v>235</v>
      </c>
      <c r="S88" s="1" t="str">
        <f t="shared" ref="S88:S151" si="9">IF(L88&gt;$I$2,"",E88/$D$3-1)</f>
        <v/>
      </c>
      <c r="T88" s="1"/>
      <c r="U88" s="35" t="str">
        <f t="shared" si="8"/>
        <v/>
      </c>
    </row>
    <row r="89" spans="1:21" x14ac:dyDescent="0.25">
      <c r="A89" s="26"/>
      <c r="B89" s="26"/>
      <c r="C89" s="26"/>
      <c r="D89" s="26"/>
      <c r="E89" s="26"/>
      <c r="F89" s="26"/>
      <c r="L89" s="26">
        <v>86</v>
      </c>
      <c r="M89" t="s">
        <v>234</v>
      </c>
      <c r="N89" s="1" t="str">
        <f t="shared" si="6"/>
        <v/>
      </c>
      <c r="O89" s="31"/>
      <c r="P89" s="34" t="str">
        <f t="shared" si="7"/>
        <v/>
      </c>
      <c r="R89" t="s">
        <v>234</v>
      </c>
      <c r="S89" s="1" t="str">
        <f t="shared" si="9"/>
        <v/>
      </c>
      <c r="T89" s="1"/>
      <c r="U89" s="35" t="str">
        <f t="shared" si="8"/>
        <v/>
      </c>
    </row>
    <row r="90" spans="1:21" x14ac:dyDescent="0.25">
      <c r="A90" s="26"/>
      <c r="B90" s="26"/>
      <c r="C90" s="26"/>
      <c r="D90" s="26"/>
      <c r="E90" s="26"/>
      <c r="F90" s="26"/>
      <c r="L90" s="26">
        <v>87</v>
      </c>
      <c r="M90" t="s">
        <v>233</v>
      </c>
      <c r="N90" s="1" t="str">
        <f t="shared" si="6"/>
        <v/>
      </c>
      <c r="O90" s="31"/>
      <c r="P90" s="34" t="str">
        <f t="shared" si="7"/>
        <v/>
      </c>
      <c r="R90" t="s">
        <v>233</v>
      </c>
      <c r="S90" s="1" t="str">
        <f t="shared" si="9"/>
        <v/>
      </c>
      <c r="T90" s="1"/>
      <c r="U90" s="35" t="str">
        <f t="shared" si="8"/>
        <v/>
      </c>
    </row>
    <row r="91" spans="1:21" x14ac:dyDescent="0.25">
      <c r="A91" s="26"/>
      <c r="B91" s="26"/>
      <c r="C91" s="26"/>
      <c r="D91" s="26"/>
      <c r="E91" s="26"/>
      <c r="F91" s="26"/>
      <c r="L91" s="26">
        <v>88</v>
      </c>
      <c r="M91" t="s">
        <v>232</v>
      </c>
      <c r="N91" s="1" t="str">
        <f t="shared" si="6"/>
        <v/>
      </c>
      <c r="O91" s="31"/>
      <c r="P91" s="34" t="str">
        <f t="shared" si="7"/>
        <v/>
      </c>
      <c r="R91" t="s">
        <v>232</v>
      </c>
      <c r="S91" s="1" t="str">
        <f t="shared" si="9"/>
        <v/>
      </c>
      <c r="T91" s="1"/>
      <c r="U91" s="35" t="str">
        <f t="shared" si="8"/>
        <v/>
      </c>
    </row>
    <row r="92" spans="1:21" x14ac:dyDescent="0.25">
      <c r="A92" s="26"/>
      <c r="B92" s="26"/>
      <c r="C92" s="26"/>
      <c r="D92" s="26"/>
      <c r="E92" s="26"/>
      <c r="F92" s="26"/>
      <c r="L92" s="26">
        <v>89</v>
      </c>
      <c r="M92" t="s">
        <v>231</v>
      </c>
      <c r="N92" s="1" t="str">
        <f t="shared" si="6"/>
        <v/>
      </c>
      <c r="O92" s="31"/>
      <c r="P92" s="34" t="str">
        <f t="shared" si="7"/>
        <v/>
      </c>
      <c r="R92" t="s">
        <v>231</v>
      </c>
      <c r="S92" s="1" t="str">
        <f t="shared" si="9"/>
        <v/>
      </c>
      <c r="T92" s="1"/>
      <c r="U92" s="35" t="str">
        <f t="shared" si="8"/>
        <v/>
      </c>
    </row>
    <row r="93" spans="1:21" x14ac:dyDescent="0.25">
      <c r="A93" s="26"/>
      <c r="B93" s="26"/>
      <c r="C93" s="26"/>
      <c r="D93" s="26"/>
      <c r="E93" s="26"/>
      <c r="F93" s="26"/>
      <c r="L93" s="26">
        <v>90</v>
      </c>
      <c r="M93" t="s">
        <v>230</v>
      </c>
      <c r="N93" s="1" t="str">
        <f t="shared" si="6"/>
        <v/>
      </c>
      <c r="O93" s="31"/>
      <c r="P93" s="34" t="str">
        <f t="shared" si="7"/>
        <v/>
      </c>
      <c r="R93" t="s">
        <v>230</v>
      </c>
      <c r="S93" s="1" t="str">
        <f t="shared" si="9"/>
        <v/>
      </c>
      <c r="T93" s="1"/>
      <c r="U93" s="35" t="str">
        <f t="shared" si="8"/>
        <v/>
      </c>
    </row>
    <row r="94" spans="1:21" x14ac:dyDescent="0.25">
      <c r="A94" s="26"/>
      <c r="B94" s="26"/>
      <c r="C94" s="26"/>
      <c r="D94" s="26"/>
      <c r="E94" s="26"/>
      <c r="F94" s="26"/>
      <c r="L94" s="26">
        <v>91</v>
      </c>
      <c r="M94" t="s">
        <v>229</v>
      </c>
      <c r="N94" s="1" t="str">
        <f t="shared" si="6"/>
        <v/>
      </c>
      <c r="O94" s="31"/>
      <c r="P94" s="34" t="str">
        <f t="shared" si="7"/>
        <v/>
      </c>
      <c r="R94" t="s">
        <v>229</v>
      </c>
      <c r="S94" s="1" t="str">
        <f t="shared" si="9"/>
        <v/>
      </c>
      <c r="T94" s="1"/>
      <c r="U94" s="35" t="str">
        <f t="shared" si="8"/>
        <v/>
      </c>
    </row>
    <row r="95" spans="1:21" x14ac:dyDescent="0.25">
      <c r="A95" s="26"/>
      <c r="B95" s="26"/>
      <c r="C95" s="26"/>
      <c r="D95" s="26"/>
      <c r="E95" s="26"/>
      <c r="F95" s="26"/>
      <c r="L95" s="26">
        <v>92</v>
      </c>
      <c r="M95" t="s">
        <v>228</v>
      </c>
      <c r="N95" s="1" t="str">
        <f t="shared" si="6"/>
        <v/>
      </c>
      <c r="O95" s="31"/>
      <c r="P95" s="34" t="str">
        <f t="shared" si="7"/>
        <v/>
      </c>
      <c r="R95" t="s">
        <v>228</v>
      </c>
      <c r="S95" s="1" t="str">
        <f t="shared" si="9"/>
        <v/>
      </c>
      <c r="T95" s="1"/>
      <c r="U95" s="35" t="str">
        <f t="shared" si="8"/>
        <v/>
      </c>
    </row>
    <row r="96" spans="1:21" x14ac:dyDescent="0.25">
      <c r="L96" s="26">
        <v>93</v>
      </c>
      <c r="M96" t="s">
        <v>227</v>
      </c>
      <c r="N96" s="1" t="str">
        <f t="shared" si="6"/>
        <v/>
      </c>
      <c r="O96" s="31"/>
      <c r="P96" s="34" t="str">
        <f t="shared" si="7"/>
        <v/>
      </c>
      <c r="R96" t="s">
        <v>227</v>
      </c>
      <c r="S96" s="1" t="str">
        <f t="shared" si="9"/>
        <v/>
      </c>
      <c r="T96" s="1"/>
      <c r="U96" s="35" t="str">
        <f t="shared" si="8"/>
        <v/>
      </c>
    </row>
    <row r="97" spans="12:21" x14ac:dyDescent="0.25">
      <c r="L97" s="26">
        <v>94</v>
      </c>
      <c r="M97" t="s">
        <v>226</v>
      </c>
      <c r="N97" s="1" t="str">
        <f t="shared" si="6"/>
        <v/>
      </c>
      <c r="O97" s="31"/>
      <c r="P97" s="34" t="str">
        <f t="shared" si="7"/>
        <v/>
      </c>
      <c r="R97" t="s">
        <v>226</v>
      </c>
      <c r="S97" s="1" t="str">
        <f t="shared" si="9"/>
        <v/>
      </c>
      <c r="T97" s="1"/>
      <c r="U97" s="35" t="str">
        <f t="shared" si="8"/>
        <v/>
      </c>
    </row>
    <row r="98" spans="12:21" x14ac:dyDescent="0.25">
      <c r="L98" s="26">
        <v>95</v>
      </c>
      <c r="M98" t="s">
        <v>225</v>
      </c>
      <c r="N98" s="1" t="str">
        <f t="shared" si="6"/>
        <v/>
      </c>
      <c r="O98" s="31"/>
      <c r="P98" s="34" t="str">
        <f t="shared" si="7"/>
        <v/>
      </c>
      <c r="R98" t="s">
        <v>225</v>
      </c>
      <c r="S98" s="1" t="str">
        <f t="shared" si="9"/>
        <v/>
      </c>
      <c r="T98" s="1"/>
      <c r="U98" s="35" t="str">
        <f t="shared" si="8"/>
        <v/>
      </c>
    </row>
    <row r="99" spans="12:21" x14ac:dyDescent="0.25">
      <c r="L99" s="26">
        <v>96</v>
      </c>
      <c r="M99" t="s">
        <v>224</v>
      </c>
      <c r="N99" s="1" t="str">
        <f t="shared" si="6"/>
        <v/>
      </c>
      <c r="O99" s="31"/>
      <c r="P99" s="34" t="str">
        <f t="shared" si="7"/>
        <v/>
      </c>
      <c r="R99" t="s">
        <v>224</v>
      </c>
      <c r="S99" s="1" t="str">
        <f t="shared" si="9"/>
        <v/>
      </c>
      <c r="T99" s="1"/>
      <c r="U99" s="35" t="str">
        <f t="shared" si="8"/>
        <v/>
      </c>
    </row>
    <row r="100" spans="12:21" x14ac:dyDescent="0.25">
      <c r="L100" s="26">
        <v>97</v>
      </c>
      <c r="M100" t="s">
        <v>223</v>
      </c>
      <c r="N100" s="1" t="str">
        <f t="shared" si="6"/>
        <v/>
      </c>
      <c r="O100" s="31"/>
      <c r="P100" s="34" t="str">
        <f t="shared" si="7"/>
        <v/>
      </c>
      <c r="R100" t="s">
        <v>223</v>
      </c>
      <c r="S100" s="1" t="str">
        <f t="shared" si="9"/>
        <v/>
      </c>
      <c r="T100" s="1"/>
      <c r="U100" s="35" t="str">
        <f t="shared" si="8"/>
        <v/>
      </c>
    </row>
    <row r="101" spans="12:21" x14ac:dyDescent="0.25">
      <c r="L101" s="26">
        <v>98</v>
      </c>
      <c r="M101" t="s">
        <v>222</v>
      </c>
      <c r="N101" s="1" t="str">
        <f t="shared" si="6"/>
        <v/>
      </c>
      <c r="O101" s="31"/>
      <c r="P101" s="34" t="str">
        <f t="shared" si="7"/>
        <v/>
      </c>
      <c r="R101" t="s">
        <v>222</v>
      </c>
      <c r="S101" s="1" t="str">
        <f t="shared" si="9"/>
        <v/>
      </c>
      <c r="T101" s="1"/>
      <c r="U101" s="35" t="str">
        <f t="shared" si="8"/>
        <v/>
      </c>
    </row>
    <row r="102" spans="12:21" x14ac:dyDescent="0.25">
      <c r="L102" s="26">
        <v>99</v>
      </c>
      <c r="M102" t="s">
        <v>221</v>
      </c>
      <c r="N102" s="1" t="str">
        <f t="shared" si="6"/>
        <v/>
      </c>
      <c r="O102" s="31"/>
      <c r="P102" s="34" t="str">
        <f t="shared" si="7"/>
        <v/>
      </c>
      <c r="R102" t="s">
        <v>221</v>
      </c>
      <c r="S102" s="1" t="str">
        <f t="shared" si="9"/>
        <v/>
      </c>
      <c r="T102" s="1"/>
      <c r="U102" s="35" t="str">
        <f t="shared" si="8"/>
        <v/>
      </c>
    </row>
    <row r="103" spans="12:21" x14ac:dyDescent="0.25">
      <c r="L103" s="26">
        <v>100</v>
      </c>
      <c r="M103" t="s">
        <v>220</v>
      </c>
      <c r="N103" s="1" t="str">
        <f t="shared" si="6"/>
        <v/>
      </c>
      <c r="O103" s="31"/>
      <c r="P103" s="34" t="str">
        <f t="shared" si="7"/>
        <v/>
      </c>
      <c r="R103" t="s">
        <v>220</v>
      </c>
      <c r="S103" s="1" t="str">
        <f t="shared" si="9"/>
        <v/>
      </c>
      <c r="T103" s="1"/>
      <c r="U103" s="35" t="str">
        <f t="shared" si="8"/>
        <v/>
      </c>
    </row>
    <row r="104" spans="12:21" x14ac:dyDescent="0.25">
      <c r="L104" s="26">
        <v>101</v>
      </c>
      <c r="M104" t="s">
        <v>219</v>
      </c>
      <c r="N104" s="1" t="str">
        <f t="shared" si="6"/>
        <v/>
      </c>
      <c r="O104" s="31"/>
      <c r="P104" s="34" t="str">
        <f t="shared" si="7"/>
        <v/>
      </c>
      <c r="R104" t="s">
        <v>219</v>
      </c>
      <c r="S104" s="1" t="str">
        <f t="shared" si="9"/>
        <v/>
      </c>
      <c r="T104" s="1"/>
      <c r="U104" s="35" t="str">
        <f t="shared" si="8"/>
        <v/>
      </c>
    </row>
    <row r="105" spans="12:21" x14ac:dyDescent="0.25">
      <c r="L105" s="26">
        <v>102</v>
      </c>
      <c r="M105" t="s">
        <v>218</v>
      </c>
      <c r="N105" s="1" t="str">
        <f t="shared" si="6"/>
        <v/>
      </c>
      <c r="O105" s="31"/>
      <c r="P105" s="34" t="str">
        <f t="shared" si="7"/>
        <v/>
      </c>
      <c r="R105" t="s">
        <v>218</v>
      </c>
      <c r="S105" s="1" t="str">
        <f t="shared" si="9"/>
        <v/>
      </c>
      <c r="T105" s="1"/>
      <c r="U105" s="35" t="str">
        <f t="shared" si="8"/>
        <v/>
      </c>
    </row>
    <row r="106" spans="12:21" x14ac:dyDescent="0.25">
      <c r="L106" s="26">
        <v>103</v>
      </c>
      <c r="M106" t="s">
        <v>217</v>
      </c>
      <c r="N106" s="1" t="str">
        <f t="shared" si="6"/>
        <v/>
      </c>
      <c r="O106" s="31"/>
      <c r="P106" s="34" t="str">
        <f t="shared" si="7"/>
        <v/>
      </c>
      <c r="R106" t="s">
        <v>217</v>
      </c>
      <c r="S106" s="1" t="str">
        <f t="shared" si="9"/>
        <v/>
      </c>
      <c r="T106" s="1"/>
      <c r="U106" s="35" t="str">
        <f t="shared" si="8"/>
        <v/>
      </c>
    </row>
    <row r="107" spans="12:21" x14ac:dyDescent="0.25">
      <c r="L107" s="26">
        <v>104</v>
      </c>
      <c r="M107" t="s">
        <v>216</v>
      </c>
      <c r="N107" s="1" t="str">
        <f t="shared" si="6"/>
        <v/>
      </c>
      <c r="O107" s="31"/>
      <c r="P107" s="34" t="str">
        <f t="shared" si="7"/>
        <v/>
      </c>
      <c r="R107" t="s">
        <v>216</v>
      </c>
      <c r="S107" s="1" t="str">
        <f t="shared" si="9"/>
        <v/>
      </c>
      <c r="T107" s="1"/>
      <c r="U107" s="35" t="str">
        <f t="shared" si="8"/>
        <v/>
      </c>
    </row>
    <row r="108" spans="12:21" x14ac:dyDescent="0.25">
      <c r="L108" s="26">
        <v>105</v>
      </c>
      <c r="M108" t="s">
        <v>215</v>
      </c>
      <c r="N108" s="1" t="str">
        <f t="shared" si="6"/>
        <v/>
      </c>
      <c r="O108" s="31"/>
      <c r="P108" s="34" t="str">
        <f t="shared" si="7"/>
        <v/>
      </c>
      <c r="R108" t="s">
        <v>215</v>
      </c>
      <c r="S108" s="1" t="str">
        <f t="shared" si="9"/>
        <v/>
      </c>
      <c r="T108" s="1"/>
      <c r="U108" s="35" t="str">
        <f t="shared" si="8"/>
        <v/>
      </c>
    </row>
    <row r="109" spans="12:21" x14ac:dyDescent="0.25">
      <c r="L109" s="26">
        <v>106</v>
      </c>
      <c r="M109" t="s">
        <v>214</v>
      </c>
      <c r="N109" s="1" t="str">
        <f t="shared" si="6"/>
        <v/>
      </c>
      <c r="O109" s="31"/>
      <c r="P109" s="34" t="str">
        <f t="shared" si="7"/>
        <v/>
      </c>
      <c r="R109" t="s">
        <v>214</v>
      </c>
      <c r="S109" s="1" t="str">
        <f t="shared" si="9"/>
        <v/>
      </c>
      <c r="T109" s="1"/>
      <c r="U109" s="35" t="str">
        <f t="shared" si="8"/>
        <v/>
      </c>
    </row>
    <row r="110" spans="12:21" x14ac:dyDescent="0.25">
      <c r="L110" s="26">
        <v>107</v>
      </c>
      <c r="M110" t="s">
        <v>213</v>
      </c>
      <c r="N110" s="1" t="str">
        <f t="shared" si="6"/>
        <v/>
      </c>
      <c r="O110" s="31"/>
      <c r="P110" s="34" t="str">
        <f t="shared" si="7"/>
        <v/>
      </c>
      <c r="R110" t="s">
        <v>213</v>
      </c>
      <c r="S110" s="1" t="str">
        <f t="shared" si="9"/>
        <v/>
      </c>
      <c r="T110" s="1"/>
      <c r="U110" s="35" t="str">
        <f t="shared" si="8"/>
        <v/>
      </c>
    </row>
    <row r="111" spans="12:21" x14ac:dyDescent="0.25">
      <c r="L111" s="26">
        <v>108</v>
      </c>
      <c r="M111" t="s">
        <v>212</v>
      </c>
      <c r="N111" s="1" t="str">
        <f t="shared" si="6"/>
        <v/>
      </c>
      <c r="O111" s="31"/>
      <c r="P111" s="34" t="str">
        <f t="shared" si="7"/>
        <v/>
      </c>
      <c r="R111" t="s">
        <v>212</v>
      </c>
      <c r="S111" s="1" t="str">
        <f t="shared" si="9"/>
        <v/>
      </c>
      <c r="T111" s="1"/>
      <c r="U111" s="35" t="str">
        <f t="shared" si="8"/>
        <v/>
      </c>
    </row>
    <row r="112" spans="12:21" x14ac:dyDescent="0.25">
      <c r="L112" s="26">
        <v>109</v>
      </c>
      <c r="M112" t="s">
        <v>211</v>
      </c>
      <c r="N112" s="1" t="str">
        <f t="shared" si="6"/>
        <v/>
      </c>
      <c r="O112" s="31"/>
      <c r="P112" s="34" t="str">
        <f t="shared" si="7"/>
        <v/>
      </c>
      <c r="R112" t="s">
        <v>211</v>
      </c>
      <c r="S112" s="1" t="str">
        <f t="shared" si="9"/>
        <v/>
      </c>
      <c r="T112" s="1"/>
      <c r="U112" s="35" t="str">
        <f t="shared" si="8"/>
        <v/>
      </c>
    </row>
    <row r="113" spans="12:21" x14ac:dyDescent="0.25">
      <c r="L113" s="26">
        <v>110</v>
      </c>
      <c r="M113" t="s">
        <v>210</v>
      </c>
      <c r="N113" s="1" t="str">
        <f t="shared" si="6"/>
        <v/>
      </c>
      <c r="O113" s="31"/>
      <c r="P113" s="34" t="str">
        <f t="shared" si="7"/>
        <v/>
      </c>
      <c r="R113" t="s">
        <v>210</v>
      </c>
      <c r="S113" s="1" t="str">
        <f t="shared" si="9"/>
        <v/>
      </c>
      <c r="T113" s="1"/>
      <c r="U113" s="35" t="str">
        <f t="shared" si="8"/>
        <v/>
      </c>
    </row>
    <row r="114" spans="12:21" x14ac:dyDescent="0.25">
      <c r="L114" s="26">
        <v>111</v>
      </c>
      <c r="M114" t="s">
        <v>209</v>
      </c>
      <c r="N114" s="1" t="str">
        <f t="shared" si="6"/>
        <v/>
      </c>
      <c r="O114" s="31"/>
      <c r="P114" s="34" t="str">
        <f t="shared" si="7"/>
        <v/>
      </c>
      <c r="R114" t="s">
        <v>209</v>
      </c>
      <c r="S114" s="1" t="str">
        <f t="shared" si="9"/>
        <v/>
      </c>
      <c r="T114" s="1"/>
      <c r="U114" s="35" t="str">
        <f t="shared" si="8"/>
        <v/>
      </c>
    </row>
    <row r="115" spans="12:21" x14ac:dyDescent="0.25">
      <c r="L115" s="26">
        <v>112</v>
      </c>
      <c r="M115" t="s">
        <v>208</v>
      </c>
      <c r="N115" s="1" t="str">
        <f t="shared" si="6"/>
        <v/>
      </c>
      <c r="O115" s="31"/>
      <c r="P115" s="34" t="str">
        <f t="shared" si="7"/>
        <v/>
      </c>
      <c r="R115" t="s">
        <v>208</v>
      </c>
      <c r="S115" s="1" t="str">
        <f t="shared" si="9"/>
        <v/>
      </c>
      <c r="T115" s="1"/>
      <c r="U115" s="35" t="str">
        <f t="shared" si="8"/>
        <v/>
      </c>
    </row>
    <row r="116" spans="12:21" x14ac:dyDescent="0.25">
      <c r="L116" s="26">
        <v>113</v>
      </c>
      <c r="M116" t="s">
        <v>207</v>
      </c>
      <c r="N116" s="1" t="str">
        <f t="shared" si="6"/>
        <v/>
      </c>
      <c r="O116" s="31"/>
      <c r="P116" s="34" t="str">
        <f t="shared" si="7"/>
        <v/>
      </c>
      <c r="R116" t="s">
        <v>207</v>
      </c>
      <c r="S116" s="1" t="str">
        <f t="shared" si="9"/>
        <v/>
      </c>
      <c r="T116" s="1"/>
      <c r="U116" s="35" t="str">
        <f t="shared" si="8"/>
        <v/>
      </c>
    </row>
    <row r="117" spans="12:21" x14ac:dyDescent="0.25">
      <c r="L117" s="26">
        <v>114</v>
      </c>
      <c r="M117" t="s">
        <v>206</v>
      </c>
      <c r="N117" s="1" t="str">
        <f t="shared" si="6"/>
        <v/>
      </c>
      <c r="O117" s="31"/>
      <c r="P117" s="34" t="str">
        <f t="shared" si="7"/>
        <v/>
      </c>
      <c r="R117" t="s">
        <v>206</v>
      </c>
      <c r="S117" s="1" t="str">
        <f t="shared" si="9"/>
        <v/>
      </c>
      <c r="T117" s="1"/>
      <c r="U117" s="35" t="str">
        <f t="shared" si="8"/>
        <v/>
      </c>
    </row>
    <row r="118" spans="12:21" x14ac:dyDescent="0.25">
      <c r="L118" s="26">
        <v>115</v>
      </c>
      <c r="M118" t="s">
        <v>205</v>
      </c>
      <c r="N118" s="1" t="str">
        <f t="shared" si="6"/>
        <v/>
      </c>
      <c r="O118" s="31"/>
      <c r="P118" s="34" t="str">
        <f t="shared" si="7"/>
        <v/>
      </c>
      <c r="R118" t="s">
        <v>205</v>
      </c>
      <c r="S118" s="1" t="str">
        <f t="shared" si="9"/>
        <v/>
      </c>
      <c r="T118" s="1"/>
      <c r="U118" s="35" t="str">
        <f t="shared" si="8"/>
        <v/>
      </c>
    </row>
    <row r="119" spans="12:21" x14ac:dyDescent="0.25">
      <c r="L119" s="26">
        <v>116</v>
      </c>
      <c r="M119" t="s">
        <v>204</v>
      </c>
      <c r="N119" s="1" t="str">
        <f t="shared" si="6"/>
        <v/>
      </c>
      <c r="O119" s="31"/>
      <c r="P119" s="34" t="str">
        <f t="shared" si="7"/>
        <v/>
      </c>
      <c r="R119" t="s">
        <v>204</v>
      </c>
      <c r="S119" s="1" t="str">
        <f t="shared" si="9"/>
        <v/>
      </c>
      <c r="T119" s="1"/>
      <c r="U119" s="35" t="str">
        <f t="shared" si="8"/>
        <v/>
      </c>
    </row>
    <row r="120" spans="12:21" x14ac:dyDescent="0.25">
      <c r="L120" s="26">
        <v>117</v>
      </c>
      <c r="M120" t="s">
        <v>203</v>
      </c>
      <c r="N120" s="1" t="str">
        <f t="shared" si="6"/>
        <v/>
      </c>
      <c r="O120" s="31"/>
      <c r="P120" s="34" t="str">
        <f t="shared" si="7"/>
        <v/>
      </c>
      <c r="R120" t="s">
        <v>203</v>
      </c>
      <c r="S120" s="1" t="str">
        <f t="shared" si="9"/>
        <v/>
      </c>
      <c r="T120" s="1"/>
      <c r="U120" s="35" t="str">
        <f t="shared" si="8"/>
        <v/>
      </c>
    </row>
    <row r="121" spans="12:21" x14ac:dyDescent="0.25">
      <c r="L121" s="26">
        <v>118</v>
      </c>
      <c r="M121" t="s">
        <v>202</v>
      </c>
      <c r="N121" s="1" t="str">
        <f t="shared" si="6"/>
        <v/>
      </c>
      <c r="O121" s="31"/>
      <c r="P121" s="34" t="str">
        <f t="shared" si="7"/>
        <v/>
      </c>
      <c r="R121" t="s">
        <v>202</v>
      </c>
      <c r="S121" s="1" t="str">
        <f t="shared" si="9"/>
        <v/>
      </c>
      <c r="T121" s="1"/>
      <c r="U121" s="35" t="str">
        <f t="shared" si="8"/>
        <v/>
      </c>
    </row>
    <row r="122" spans="12:21" x14ac:dyDescent="0.25">
      <c r="L122" s="26">
        <v>119</v>
      </c>
      <c r="M122" t="s">
        <v>201</v>
      </c>
      <c r="N122" s="1" t="str">
        <f t="shared" si="6"/>
        <v/>
      </c>
      <c r="O122" s="31"/>
      <c r="P122" s="34" t="str">
        <f t="shared" si="7"/>
        <v/>
      </c>
      <c r="R122" t="s">
        <v>201</v>
      </c>
      <c r="S122" s="1" t="str">
        <f t="shared" si="9"/>
        <v/>
      </c>
      <c r="T122" s="1"/>
      <c r="U122" s="35" t="str">
        <f t="shared" si="8"/>
        <v/>
      </c>
    </row>
    <row r="123" spans="12:21" x14ac:dyDescent="0.25">
      <c r="L123" s="26">
        <v>120</v>
      </c>
      <c r="M123" t="s">
        <v>200</v>
      </c>
      <c r="N123" s="1" t="str">
        <f t="shared" si="6"/>
        <v/>
      </c>
      <c r="O123" s="31"/>
      <c r="P123" s="34" t="str">
        <f t="shared" si="7"/>
        <v/>
      </c>
      <c r="R123" t="s">
        <v>200</v>
      </c>
      <c r="S123" s="1" t="str">
        <f t="shared" si="9"/>
        <v/>
      </c>
      <c r="T123" s="1"/>
      <c r="U123" s="35" t="str">
        <f t="shared" si="8"/>
        <v/>
      </c>
    </row>
    <row r="124" spans="12:21" x14ac:dyDescent="0.25">
      <c r="L124" s="26">
        <v>121</v>
      </c>
      <c r="M124" t="s">
        <v>199</v>
      </c>
      <c r="N124" s="1" t="str">
        <f t="shared" si="6"/>
        <v/>
      </c>
      <c r="O124" s="31"/>
      <c r="P124" s="34" t="str">
        <f t="shared" si="7"/>
        <v/>
      </c>
      <c r="R124" t="s">
        <v>199</v>
      </c>
      <c r="S124" s="1" t="str">
        <f t="shared" si="9"/>
        <v/>
      </c>
      <c r="T124" s="1"/>
      <c r="U124" s="35" t="str">
        <f t="shared" si="8"/>
        <v/>
      </c>
    </row>
    <row r="125" spans="12:21" x14ac:dyDescent="0.25">
      <c r="L125" s="26">
        <v>122</v>
      </c>
      <c r="M125" t="s">
        <v>198</v>
      </c>
      <c r="N125" s="1" t="str">
        <f t="shared" si="6"/>
        <v/>
      </c>
      <c r="O125" s="31"/>
      <c r="P125" s="34" t="str">
        <f t="shared" si="7"/>
        <v/>
      </c>
      <c r="R125" t="s">
        <v>198</v>
      </c>
      <c r="S125" s="1" t="str">
        <f t="shared" si="9"/>
        <v/>
      </c>
      <c r="T125" s="1"/>
      <c r="U125" s="35" t="str">
        <f t="shared" si="8"/>
        <v/>
      </c>
    </row>
    <row r="126" spans="12:21" x14ac:dyDescent="0.25">
      <c r="L126" s="26">
        <v>123</v>
      </c>
      <c r="M126" t="s">
        <v>197</v>
      </c>
      <c r="N126" s="1" t="str">
        <f t="shared" si="6"/>
        <v/>
      </c>
      <c r="O126" s="31"/>
      <c r="P126" s="34" t="str">
        <f t="shared" si="7"/>
        <v/>
      </c>
      <c r="R126" t="s">
        <v>197</v>
      </c>
      <c r="S126" s="1" t="str">
        <f t="shared" si="9"/>
        <v/>
      </c>
      <c r="T126" s="1"/>
      <c r="U126" s="35" t="str">
        <f t="shared" si="8"/>
        <v/>
      </c>
    </row>
    <row r="127" spans="12:21" x14ac:dyDescent="0.25">
      <c r="L127" s="26">
        <v>124</v>
      </c>
      <c r="M127" t="s">
        <v>196</v>
      </c>
      <c r="N127" s="1" t="str">
        <f t="shared" si="6"/>
        <v/>
      </c>
      <c r="O127" s="31"/>
      <c r="P127" s="34" t="str">
        <f t="shared" si="7"/>
        <v/>
      </c>
      <c r="R127" t="s">
        <v>196</v>
      </c>
      <c r="S127" s="1" t="str">
        <f t="shared" si="9"/>
        <v/>
      </c>
      <c r="T127" s="1"/>
      <c r="U127" s="35" t="str">
        <f t="shared" si="8"/>
        <v/>
      </c>
    </row>
    <row r="128" spans="12:21" x14ac:dyDescent="0.25">
      <c r="L128" s="26">
        <v>125</v>
      </c>
      <c r="M128" t="s">
        <v>195</v>
      </c>
      <c r="N128" s="1" t="str">
        <f t="shared" si="6"/>
        <v/>
      </c>
      <c r="O128" s="31"/>
      <c r="P128" s="34" t="str">
        <f t="shared" si="7"/>
        <v/>
      </c>
      <c r="R128" t="s">
        <v>195</v>
      </c>
      <c r="S128" s="1" t="str">
        <f t="shared" si="9"/>
        <v/>
      </c>
      <c r="T128" s="1"/>
      <c r="U128" s="35" t="str">
        <f t="shared" si="8"/>
        <v/>
      </c>
    </row>
    <row r="129" spans="12:21" x14ac:dyDescent="0.25">
      <c r="L129" s="26">
        <v>126</v>
      </c>
      <c r="M129" t="s">
        <v>194</v>
      </c>
      <c r="N129" s="1" t="str">
        <f t="shared" si="6"/>
        <v/>
      </c>
      <c r="O129" s="31"/>
      <c r="P129" s="34" t="str">
        <f t="shared" si="7"/>
        <v/>
      </c>
      <c r="R129" t="s">
        <v>194</v>
      </c>
      <c r="S129" s="1" t="str">
        <f t="shared" si="9"/>
        <v/>
      </c>
      <c r="T129" s="1"/>
      <c r="U129" s="35" t="str">
        <f t="shared" si="8"/>
        <v/>
      </c>
    </row>
    <row r="130" spans="12:21" x14ac:dyDescent="0.25">
      <c r="L130" s="26">
        <v>127</v>
      </c>
      <c r="M130" t="s">
        <v>193</v>
      </c>
      <c r="N130" s="1" t="str">
        <f t="shared" si="6"/>
        <v/>
      </c>
      <c r="O130" s="31"/>
      <c r="P130" s="34" t="str">
        <f t="shared" si="7"/>
        <v/>
      </c>
      <c r="R130" t="s">
        <v>193</v>
      </c>
      <c r="S130" s="1" t="str">
        <f t="shared" si="9"/>
        <v/>
      </c>
      <c r="T130" s="1"/>
      <c r="U130" s="35" t="str">
        <f t="shared" si="8"/>
        <v/>
      </c>
    </row>
    <row r="131" spans="12:21" x14ac:dyDescent="0.25">
      <c r="L131" s="26">
        <v>128</v>
      </c>
      <c r="M131" t="s">
        <v>192</v>
      </c>
      <c r="N131" s="1" t="str">
        <f t="shared" si="6"/>
        <v/>
      </c>
      <c r="O131" s="31"/>
      <c r="P131" s="34" t="str">
        <f t="shared" si="7"/>
        <v/>
      </c>
      <c r="R131" t="s">
        <v>192</v>
      </c>
      <c r="S131" s="1" t="str">
        <f t="shared" si="9"/>
        <v/>
      </c>
      <c r="T131" s="1"/>
      <c r="U131" s="35" t="str">
        <f t="shared" si="8"/>
        <v/>
      </c>
    </row>
    <row r="132" spans="12:21" x14ac:dyDescent="0.25">
      <c r="L132" s="26">
        <v>129</v>
      </c>
      <c r="M132" t="s">
        <v>191</v>
      </c>
      <c r="N132" s="1" t="str">
        <f t="shared" si="6"/>
        <v/>
      </c>
      <c r="O132" s="31"/>
      <c r="P132" s="34" t="str">
        <f t="shared" si="7"/>
        <v/>
      </c>
      <c r="R132" t="s">
        <v>191</v>
      </c>
      <c r="S132" s="1" t="str">
        <f t="shared" si="9"/>
        <v/>
      </c>
      <c r="T132" s="1"/>
      <c r="U132" s="35" t="str">
        <f t="shared" si="8"/>
        <v/>
      </c>
    </row>
    <row r="133" spans="12:21" x14ac:dyDescent="0.25">
      <c r="L133" s="26">
        <v>130</v>
      </c>
      <c r="M133" t="s">
        <v>190</v>
      </c>
      <c r="N133" s="1" t="str">
        <f t="shared" ref="N133:N196" si="10">IF(L133&gt;$I$2,"",F133/$D$3-1)</f>
        <v/>
      </c>
      <c r="O133" s="31"/>
      <c r="P133" s="34" t="str">
        <f t="shared" ref="P133:P196" si="11">IF(AND(L133&lt;=$I$2,N133&lt;= -0.1),1,"")</f>
        <v/>
      </c>
      <c r="R133" t="s">
        <v>190</v>
      </c>
      <c r="S133" s="1" t="str">
        <f t="shared" si="9"/>
        <v/>
      </c>
      <c r="T133" s="1"/>
      <c r="U133" s="35" t="str">
        <f t="shared" ref="U133:U196" si="12">IF(AND(L133&lt;=$I$2,S133&gt;=0.2),1,"")</f>
        <v/>
      </c>
    </row>
    <row r="134" spans="12:21" x14ac:dyDescent="0.25">
      <c r="L134" s="26">
        <v>131</v>
      </c>
      <c r="M134" t="s">
        <v>189</v>
      </c>
      <c r="N134" s="1" t="str">
        <f t="shared" si="10"/>
        <v/>
      </c>
      <c r="O134" s="31"/>
      <c r="P134" s="34" t="str">
        <f t="shared" si="11"/>
        <v/>
      </c>
      <c r="R134" t="s">
        <v>189</v>
      </c>
      <c r="S134" s="1" t="str">
        <f t="shared" si="9"/>
        <v/>
      </c>
      <c r="T134" s="1"/>
      <c r="U134" s="35" t="str">
        <f t="shared" si="12"/>
        <v/>
      </c>
    </row>
    <row r="135" spans="12:21" x14ac:dyDescent="0.25">
      <c r="L135" s="26">
        <v>132</v>
      </c>
      <c r="M135" t="s">
        <v>188</v>
      </c>
      <c r="N135" s="1" t="str">
        <f t="shared" si="10"/>
        <v/>
      </c>
      <c r="O135" s="31"/>
      <c r="P135" s="34" t="str">
        <f t="shared" si="11"/>
        <v/>
      </c>
      <c r="R135" t="s">
        <v>188</v>
      </c>
      <c r="S135" s="1" t="str">
        <f t="shared" si="9"/>
        <v/>
      </c>
      <c r="T135" s="1"/>
      <c r="U135" s="35" t="str">
        <f t="shared" si="12"/>
        <v/>
      </c>
    </row>
    <row r="136" spans="12:21" x14ac:dyDescent="0.25">
      <c r="L136" s="26">
        <v>133</v>
      </c>
      <c r="M136" t="s">
        <v>187</v>
      </c>
      <c r="N136" s="1" t="str">
        <f t="shared" si="10"/>
        <v/>
      </c>
      <c r="O136" s="31"/>
      <c r="P136" s="34" t="str">
        <f t="shared" si="11"/>
        <v/>
      </c>
      <c r="R136" t="s">
        <v>187</v>
      </c>
      <c r="S136" s="1" t="str">
        <f t="shared" si="9"/>
        <v/>
      </c>
      <c r="T136" s="1"/>
      <c r="U136" s="35" t="str">
        <f t="shared" si="12"/>
        <v/>
      </c>
    </row>
    <row r="137" spans="12:21" x14ac:dyDescent="0.25">
      <c r="L137" s="26">
        <v>134</v>
      </c>
      <c r="M137" t="s">
        <v>186</v>
      </c>
      <c r="N137" s="1" t="str">
        <f t="shared" si="10"/>
        <v/>
      </c>
      <c r="O137" s="31"/>
      <c r="P137" s="34" t="str">
        <f t="shared" si="11"/>
        <v/>
      </c>
      <c r="R137" t="s">
        <v>186</v>
      </c>
      <c r="S137" s="1" t="str">
        <f t="shared" si="9"/>
        <v/>
      </c>
      <c r="T137" s="1"/>
      <c r="U137" s="35" t="str">
        <f t="shared" si="12"/>
        <v/>
      </c>
    </row>
    <row r="138" spans="12:21" x14ac:dyDescent="0.25">
      <c r="L138" s="26">
        <v>135</v>
      </c>
      <c r="M138" t="s">
        <v>185</v>
      </c>
      <c r="N138" s="1" t="str">
        <f t="shared" si="10"/>
        <v/>
      </c>
      <c r="O138" s="31"/>
      <c r="P138" s="34" t="str">
        <f t="shared" si="11"/>
        <v/>
      </c>
      <c r="R138" t="s">
        <v>185</v>
      </c>
      <c r="S138" s="1" t="str">
        <f t="shared" si="9"/>
        <v/>
      </c>
      <c r="T138" s="1"/>
      <c r="U138" s="35" t="str">
        <f t="shared" si="12"/>
        <v/>
      </c>
    </row>
    <row r="139" spans="12:21" x14ac:dyDescent="0.25">
      <c r="L139" s="26">
        <v>136</v>
      </c>
      <c r="M139" t="s">
        <v>184</v>
      </c>
      <c r="N139" s="1" t="str">
        <f t="shared" si="10"/>
        <v/>
      </c>
      <c r="O139" s="31"/>
      <c r="P139" s="34" t="str">
        <f t="shared" si="11"/>
        <v/>
      </c>
      <c r="R139" t="s">
        <v>184</v>
      </c>
      <c r="S139" s="1" t="str">
        <f t="shared" si="9"/>
        <v/>
      </c>
      <c r="T139" s="1"/>
      <c r="U139" s="35" t="str">
        <f t="shared" si="12"/>
        <v/>
      </c>
    </row>
    <row r="140" spans="12:21" x14ac:dyDescent="0.25">
      <c r="L140" s="26">
        <v>137</v>
      </c>
      <c r="M140" t="s">
        <v>183</v>
      </c>
      <c r="N140" s="1" t="str">
        <f t="shared" si="10"/>
        <v/>
      </c>
      <c r="O140" s="31"/>
      <c r="P140" s="34" t="str">
        <f t="shared" si="11"/>
        <v/>
      </c>
      <c r="R140" t="s">
        <v>183</v>
      </c>
      <c r="S140" s="1" t="str">
        <f t="shared" si="9"/>
        <v/>
      </c>
      <c r="T140" s="1"/>
      <c r="U140" s="35" t="str">
        <f t="shared" si="12"/>
        <v/>
      </c>
    </row>
    <row r="141" spans="12:21" x14ac:dyDescent="0.25">
      <c r="L141" s="26">
        <v>138</v>
      </c>
      <c r="M141" t="s">
        <v>182</v>
      </c>
      <c r="N141" s="1" t="str">
        <f t="shared" si="10"/>
        <v/>
      </c>
      <c r="O141" s="31"/>
      <c r="P141" s="34" t="str">
        <f t="shared" si="11"/>
        <v/>
      </c>
      <c r="R141" t="s">
        <v>182</v>
      </c>
      <c r="S141" s="1" t="str">
        <f t="shared" si="9"/>
        <v/>
      </c>
      <c r="T141" s="1"/>
      <c r="U141" s="35" t="str">
        <f t="shared" si="12"/>
        <v/>
      </c>
    </row>
    <row r="142" spans="12:21" x14ac:dyDescent="0.25">
      <c r="L142" s="26">
        <v>139</v>
      </c>
      <c r="M142" t="s">
        <v>181</v>
      </c>
      <c r="N142" s="1" t="str">
        <f t="shared" si="10"/>
        <v/>
      </c>
      <c r="O142" s="31"/>
      <c r="P142" s="34" t="str">
        <f t="shared" si="11"/>
        <v/>
      </c>
      <c r="R142" t="s">
        <v>181</v>
      </c>
      <c r="S142" s="1" t="str">
        <f t="shared" si="9"/>
        <v/>
      </c>
      <c r="T142" s="1"/>
      <c r="U142" s="35" t="str">
        <f t="shared" si="12"/>
        <v/>
      </c>
    </row>
    <row r="143" spans="12:21" x14ac:dyDescent="0.25">
      <c r="L143" s="26">
        <v>140</v>
      </c>
      <c r="M143" t="s">
        <v>180</v>
      </c>
      <c r="N143" s="1" t="str">
        <f t="shared" si="10"/>
        <v/>
      </c>
      <c r="O143" s="31"/>
      <c r="P143" s="34" t="str">
        <f t="shared" si="11"/>
        <v/>
      </c>
      <c r="R143" t="s">
        <v>180</v>
      </c>
      <c r="S143" s="1" t="str">
        <f t="shared" si="9"/>
        <v/>
      </c>
      <c r="T143" s="1"/>
      <c r="U143" s="35" t="str">
        <f t="shared" si="12"/>
        <v/>
      </c>
    </row>
    <row r="144" spans="12:21" x14ac:dyDescent="0.25">
      <c r="L144" s="26">
        <v>141</v>
      </c>
      <c r="M144" t="s">
        <v>179</v>
      </c>
      <c r="N144" s="1" t="str">
        <f t="shared" si="10"/>
        <v/>
      </c>
      <c r="O144" s="31"/>
      <c r="P144" s="34" t="str">
        <f t="shared" si="11"/>
        <v/>
      </c>
      <c r="R144" t="s">
        <v>179</v>
      </c>
      <c r="S144" s="1" t="str">
        <f t="shared" si="9"/>
        <v/>
      </c>
      <c r="T144" s="1"/>
      <c r="U144" s="35" t="str">
        <f t="shared" si="12"/>
        <v/>
      </c>
    </row>
    <row r="145" spans="12:21" x14ac:dyDescent="0.25">
      <c r="L145" s="26">
        <v>142</v>
      </c>
      <c r="M145" t="s">
        <v>178</v>
      </c>
      <c r="N145" s="1" t="str">
        <f t="shared" si="10"/>
        <v/>
      </c>
      <c r="O145" s="31"/>
      <c r="P145" s="34" t="str">
        <f t="shared" si="11"/>
        <v/>
      </c>
      <c r="R145" t="s">
        <v>178</v>
      </c>
      <c r="S145" s="1" t="str">
        <f t="shared" si="9"/>
        <v/>
      </c>
      <c r="T145" s="1"/>
      <c r="U145" s="35" t="str">
        <f t="shared" si="12"/>
        <v/>
      </c>
    </row>
    <row r="146" spans="12:21" x14ac:dyDescent="0.25">
      <c r="L146" s="26">
        <v>143</v>
      </c>
      <c r="M146" t="s">
        <v>177</v>
      </c>
      <c r="N146" s="1" t="str">
        <f t="shared" si="10"/>
        <v/>
      </c>
      <c r="O146" s="31"/>
      <c r="P146" s="34" t="str">
        <f t="shared" si="11"/>
        <v/>
      </c>
      <c r="R146" t="s">
        <v>177</v>
      </c>
      <c r="S146" s="1" t="str">
        <f t="shared" si="9"/>
        <v/>
      </c>
      <c r="T146" s="1"/>
      <c r="U146" s="35" t="str">
        <f t="shared" si="12"/>
        <v/>
      </c>
    </row>
    <row r="147" spans="12:21" x14ac:dyDescent="0.25">
      <c r="L147" s="26">
        <v>144</v>
      </c>
      <c r="M147" t="s">
        <v>176</v>
      </c>
      <c r="N147" s="1" t="str">
        <f t="shared" si="10"/>
        <v/>
      </c>
      <c r="O147" s="31"/>
      <c r="P147" s="34" t="str">
        <f t="shared" si="11"/>
        <v/>
      </c>
      <c r="R147" t="s">
        <v>176</v>
      </c>
      <c r="S147" s="1" t="str">
        <f t="shared" si="9"/>
        <v/>
      </c>
      <c r="T147" s="1"/>
      <c r="U147" s="35" t="str">
        <f t="shared" si="12"/>
        <v/>
      </c>
    </row>
    <row r="148" spans="12:21" x14ac:dyDescent="0.25">
      <c r="L148" s="26">
        <v>145</v>
      </c>
      <c r="M148" t="s">
        <v>175</v>
      </c>
      <c r="N148" s="1" t="str">
        <f t="shared" si="10"/>
        <v/>
      </c>
      <c r="O148" s="31"/>
      <c r="P148" s="34" t="str">
        <f t="shared" si="11"/>
        <v/>
      </c>
      <c r="R148" t="s">
        <v>175</v>
      </c>
      <c r="S148" s="1" t="str">
        <f t="shared" si="9"/>
        <v/>
      </c>
      <c r="T148" s="1"/>
      <c r="U148" s="35" t="str">
        <f t="shared" si="12"/>
        <v/>
      </c>
    </row>
    <row r="149" spans="12:21" x14ac:dyDescent="0.25">
      <c r="L149" s="26">
        <v>146</v>
      </c>
      <c r="M149" t="s">
        <v>174</v>
      </c>
      <c r="N149" s="1" t="str">
        <f t="shared" si="10"/>
        <v/>
      </c>
      <c r="O149" s="31"/>
      <c r="P149" s="34" t="str">
        <f t="shared" si="11"/>
        <v/>
      </c>
      <c r="R149" t="s">
        <v>174</v>
      </c>
      <c r="S149" s="1" t="str">
        <f t="shared" si="9"/>
        <v/>
      </c>
      <c r="T149" s="1"/>
      <c r="U149" s="35" t="str">
        <f t="shared" si="12"/>
        <v/>
      </c>
    </row>
    <row r="150" spans="12:21" x14ac:dyDescent="0.25">
      <c r="L150" s="26">
        <v>147</v>
      </c>
      <c r="M150" t="s">
        <v>173</v>
      </c>
      <c r="N150" s="1" t="str">
        <f t="shared" si="10"/>
        <v/>
      </c>
      <c r="O150" s="31"/>
      <c r="P150" s="34" t="str">
        <f t="shared" si="11"/>
        <v/>
      </c>
      <c r="R150" t="s">
        <v>173</v>
      </c>
      <c r="S150" s="1" t="str">
        <f t="shared" si="9"/>
        <v/>
      </c>
      <c r="T150" s="1"/>
      <c r="U150" s="35" t="str">
        <f t="shared" si="12"/>
        <v/>
      </c>
    </row>
    <row r="151" spans="12:21" x14ac:dyDescent="0.25">
      <c r="L151" s="26">
        <v>148</v>
      </c>
      <c r="M151" t="s">
        <v>172</v>
      </c>
      <c r="N151" s="1" t="str">
        <f t="shared" si="10"/>
        <v/>
      </c>
      <c r="O151" s="31"/>
      <c r="P151" s="34" t="str">
        <f t="shared" si="11"/>
        <v/>
      </c>
      <c r="R151" t="s">
        <v>172</v>
      </c>
      <c r="S151" s="1" t="str">
        <f t="shared" si="9"/>
        <v/>
      </c>
      <c r="T151" s="1"/>
      <c r="U151" s="35" t="str">
        <f t="shared" si="12"/>
        <v/>
      </c>
    </row>
    <row r="152" spans="12:21" x14ac:dyDescent="0.25">
      <c r="L152" s="26">
        <v>149</v>
      </c>
      <c r="M152" t="s">
        <v>171</v>
      </c>
      <c r="N152" s="1" t="str">
        <f t="shared" si="10"/>
        <v/>
      </c>
      <c r="O152" s="31"/>
      <c r="P152" s="34" t="str">
        <f t="shared" si="11"/>
        <v/>
      </c>
      <c r="R152" t="s">
        <v>171</v>
      </c>
      <c r="S152" s="1" t="str">
        <f t="shared" ref="S152:S215" si="13">IF(L152&gt;$I$2,"",E152/$D$3-1)</f>
        <v/>
      </c>
      <c r="T152" s="1"/>
      <c r="U152" s="35" t="str">
        <f t="shared" si="12"/>
        <v/>
      </c>
    </row>
    <row r="153" spans="12:21" x14ac:dyDescent="0.25">
      <c r="L153" s="26">
        <v>150</v>
      </c>
      <c r="M153" t="s">
        <v>170</v>
      </c>
      <c r="N153" s="1" t="str">
        <f t="shared" si="10"/>
        <v/>
      </c>
      <c r="O153" s="31"/>
      <c r="P153" s="34" t="str">
        <f t="shared" si="11"/>
        <v/>
      </c>
      <c r="R153" t="s">
        <v>170</v>
      </c>
      <c r="S153" s="1" t="str">
        <f t="shared" si="13"/>
        <v/>
      </c>
      <c r="T153" s="1"/>
      <c r="U153" s="35" t="str">
        <f t="shared" si="12"/>
        <v/>
      </c>
    </row>
    <row r="154" spans="12:21" x14ac:dyDescent="0.25">
      <c r="L154" s="26">
        <v>151</v>
      </c>
      <c r="M154" t="s">
        <v>169</v>
      </c>
      <c r="N154" s="1" t="str">
        <f t="shared" si="10"/>
        <v/>
      </c>
      <c r="O154" s="31"/>
      <c r="P154" s="34" t="str">
        <f t="shared" si="11"/>
        <v/>
      </c>
      <c r="R154" t="s">
        <v>169</v>
      </c>
      <c r="S154" s="1" t="str">
        <f t="shared" si="13"/>
        <v/>
      </c>
      <c r="T154" s="1"/>
      <c r="U154" s="35" t="str">
        <f t="shared" si="12"/>
        <v/>
      </c>
    </row>
    <row r="155" spans="12:21" x14ac:dyDescent="0.25">
      <c r="L155" s="26">
        <v>152</v>
      </c>
      <c r="M155" t="s">
        <v>168</v>
      </c>
      <c r="N155" s="1" t="str">
        <f t="shared" si="10"/>
        <v/>
      </c>
      <c r="O155" s="31"/>
      <c r="P155" s="34" t="str">
        <f t="shared" si="11"/>
        <v/>
      </c>
      <c r="R155" t="s">
        <v>168</v>
      </c>
      <c r="S155" s="1" t="str">
        <f t="shared" si="13"/>
        <v/>
      </c>
      <c r="T155" s="1"/>
      <c r="U155" s="35" t="str">
        <f t="shared" si="12"/>
        <v/>
      </c>
    </row>
    <row r="156" spans="12:21" x14ac:dyDescent="0.25">
      <c r="L156" s="26">
        <v>153</v>
      </c>
      <c r="M156" t="s">
        <v>167</v>
      </c>
      <c r="N156" s="1" t="str">
        <f t="shared" si="10"/>
        <v/>
      </c>
      <c r="O156" s="31"/>
      <c r="P156" s="34" t="str">
        <f t="shared" si="11"/>
        <v/>
      </c>
      <c r="R156" t="s">
        <v>167</v>
      </c>
      <c r="S156" s="1" t="str">
        <f t="shared" si="13"/>
        <v/>
      </c>
      <c r="T156" s="1"/>
      <c r="U156" s="35" t="str">
        <f t="shared" si="12"/>
        <v/>
      </c>
    </row>
    <row r="157" spans="12:21" x14ac:dyDescent="0.25">
      <c r="L157" s="26">
        <v>154</v>
      </c>
      <c r="M157" t="s">
        <v>166</v>
      </c>
      <c r="N157" s="1" t="str">
        <f t="shared" si="10"/>
        <v/>
      </c>
      <c r="O157" s="31"/>
      <c r="P157" s="34" t="str">
        <f t="shared" si="11"/>
        <v/>
      </c>
      <c r="R157" t="s">
        <v>166</v>
      </c>
      <c r="S157" s="1" t="str">
        <f t="shared" si="13"/>
        <v/>
      </c>
      <c r="T157" s="1"/>
      <c r="U157" s="35" t="str">
        <f t="shared" si="12"/>
        <v/>
      </c>
    </row>
    <row r="158" spans="12:21" x14ac:dyDescent="0.25">
      <c r="L158" s="26">
        <v>155</v>
      </c>
      <c r="M158" t="s">
        <v>165</v>
      </c>
      <c r="N158" s="1" t="str">
        <f t="shared" si="10"/>
        <v/>
      </c>
      <c r="O158" s="31"/>
      <c r="P158" s="34" t="str">
        <f t="shared" si="11"/>
        <v/>
      </c>
      <c r="R158" t="s">
        <v>165</v>
      </c>
      <c r="S158" s="1" t="str">
        <f t="shared" si="13"/>
        <v/>
      </c>
      <c r="T158" s="1"/>
      <c r="U158" s="35" t="str">
        <f t="shared" si="12"/>
        <v/>
      </c>
    </row>
    <row r="159" spans="12:21" x14ac:dyDescent="0.25">
      <c r="L159" s="26">
        <v>156</v>
      </c>
      <c r="M159" t="s">
        <v>164</v>
      </c>
      <c r="N159" s="1" t="str">
        <f t="shared" si="10"/>
        <v/>
      </c>
      <c r="O159" s="31"/>
      <c r="P159" s="34" t="str">
        <f t="shared" si="11"/>
        <v/>
      </c>
      <c r="R159" t="s">
        <v>164</v>
      </c>
      <c r="S159" s="1" t="str">
        <f t="shared" si="13"/>
        <v/>
      </c>
      <c r="T159" s="1"/>
      <c r="U159" s="35" t="str">
        <f t="shared" si="12"/>
        <v/>
      </c>
    </row>
    <row r="160" spans="12:21" x14ac:dyDescent="0.25">
      <c r="L160" s="26">
        <v>157</v>
      </c>
      <c r="M160" t="s">
        <v>163</v>
      </c>
      <c r="N160" s="1" t="str">
        <f t="shared" si="10"/>
        <v/>
      </c>
      <c r="O160" s="31"/>
      <c r="P160" s="34" t="str">
        <f t="shared" si="11"/>
        <v/>
      </c>
      <c r="R160" t="s">
        <v>163</v>
      </c>
      <c r="S160" s="1" t="str">
        <f t="shared" si="13"/>
        <v/>
      </c>
      <c r="T160" s="1"/>
      <c r="U160" s="35" t="str">
        <f t="shared" si="12"/>
        <v/>
      </c>
    </row>
    <row r="161" spans="12:21" x14ac:dyDescent="0.25">
      <c r="L161" s="26">
        <v>158</v>
      </c>
      <c r="M161" t="s">
        <v>162</v>
      </c>
      <c r="N161" s="1" t="str">
        <f t="shared" si="10"/>
        <v/>
      </c>
      <c r="O161" s="31"/>
      <c r="P161" s="34" t="str">
        <f t="shared" si="11"/>
        <v/>
      </c>
      <c r="R161" t="s">
        <v>162</v>
      </c>
      <c r="S161" s="1" t="str">
        <f t="shared" si="13"/>
        <v/>
      </c>
      <c r="T161" s="1"/>
      <c r="U161" s="35" t="str">
        <f t="shared" si="12"/>
        <v/>
      </c>
    </row>
    <row r="162" spans="12:21" x14ac:dyDescent="0.25">
      <c r="L162" s="26">
        <v>159</v>
      </c>
      <c r="M162" t="s">
        <v>161</v>
      </c>
      <c r="N162" s="1" t="str">
        <f t="shared" si="10"/>
        <v/>
      </c>
      <c r="O162" s="31"/>
      <c r="P162" s="34" t="str">
        <f t="shared" si="11"/>
        <v/>
      </c>
      <c r="R162" t="s">
        <v>161</v>
      </c>
      <c r="S162" s="1" t="str">
        <f t="shared" si="13"/>
        <v/>
      </c>
      <c r="T162" s="1"/>
      <c r="U162" s="35" t="str">
        <f t="shared" si="12"/>
        <v/>
      </c>
    </row>
    <row r="163" spans="12:21" x14ac:dyDescent="0.25">
      <c r="L163" s="26">
        <v>160</v>
      </c>
      <c r="M163" t="s">
        <v>160</v>
      </c>
      <c r="N163" s="1" t="str">
        <f t="shared" si="10"/>
        <v/>
      </c>
      <c r="O163" s="31"/>
      <c r="P163" s="34" t="str">
        <f t="shared" si="11"/>
        <v/>
      </c>
      <c r="R163" t="s">
        <v>160</v>
      </c>
      <c r="S163" s="1" t="str">
        <f t="shared" si="13"/>
        <v/>
      </c>
      <c r="T163" s="1"/>
      <c r="U163" s="35" t="str">
        <f t="shared" si="12"/>
        <v/>
      </c>
    </row>
    <row r="164" spans="12:21" x14ac:dyDescent="0.25">
      <c r="L164" s="26">
        <v>161</v>
      </c>
      <c r="M164" t="s">
        <v>159</v>
      </c>
      <c r="N164" s="1" t="str">
        <f t="shared" si="10"/>
        <v/>
      </c>
      <c r="O164" s="31"/>
      <c r="P164" s="34" t="str">
        <f t="shared" si="11"/>
        <v/>
      </c>
      <c r="R164" t="s">
        <v>159</v>
      </c>
      <c r="S164" s="1" t="str">
        <f t="shared" si="13"/>
        <v/>
      </c>
      <c r="T164" s="1"/>
      <c r="U164" s="35" t="str">
        <f t="shared" si="12"/>
        <v/>
      </c>
    </row>
    <row r="165" spans="12:21" x14ac:dyDescent="0.25">
      <c r="L165" s="26">
        <v>162</v>
      </c>
      <c r="M165" t="s">
        <v>158</v>
      </c>
      <c r="N165" s="1" t="str">
        <f t="shared" si="10"/>
        <v/>
      </c>
      <c r="O165" s="31"/>
      <c r="P165" s="34" t="str">
        <f t="shared" si="11"/>
        <v/>
      </c>
      <c r="R165" t="s">
        <v>158</v>
      </c>
      <c r="S165" s="1" t="str">
        <f t="shared" si="13"/>
        <v/>
      </c>
      <c r="T165" s="1"/>
      <c r="U165" s="35" t="str">
        <f t="shared" si="12"/>
        <v/>
      </c>
    </row>
    <row r="166" spans="12:21" x14ac:dyDescent="0.25">
      <c r="L166" s="26">
        <v>163</v>
      </c>
      <c r="M166" t="s">
        <v>157</v>
      </c>
      <c r="N166" s="1" t="str">
        <f t="shared" si="10"/>
        <v/>
      </c>
      <c r="O166" s="31"/>
      <c r="P166" s="34" t="str">
        <f t="shared" si="11"/>
        <v/>
      </c>
      <c r="R166" t="s">
        <v>157</v>
      </c>
      <c r="S166" s="1" t="str">
        <f t="shared" si="13"/>
        <v/>
      </c>
      <c r="T166" s="1"/>
      <c r="U166" s="35" t="str">
        <f t="shared" si="12"/>
        <v/>
      </c>
    </row>
    <row r="167" spans="12:21" x14ac:dyDescent="0.25">
      <c r="L167" s="26">
        <v>164</v>
      </c>
      <c r="M167" t="s">
        <v>156</v>
      </c>
      <c r="N167" s="1" t="str">
        <f t="shared" si="10"/>
        <v/>
      </c>
      <c r="O167" s="31"/>
      <c r="P167" s="34" t="str">
        <f t="shared" si="11"/>
        <v/>
      </c>
      <c r="R167" t="s">
        <v>156</v>
      </c>
      <c r="S167" s="1" t="str">
        <f t="shared" si="13"/>
        <v/>
      </c>
      <c r="T167" s="1"/>
      <c r="U167" s="35" t="str">
        <f t="shared" si="12"/>
        <v/>
      </c>
    </row>
    <row r="168" spans="12:21" x14ac:dyDescent="0.25">
      <c r="L168" s="26">
        <v>165</v>
      </c>
      <c r="M168" t="s">
        <v>155</v>
      </c>
      <c r="N168" s="1" t="str">
        <f t="shared" si="10"/>
        <v/>
      </c>
      <c r="O168" s="31"/>
      <c r="P168" s="34" t="str">
        <f t="shared" si="11"/>
        <v/>
      </c>
      <c r="R168" t="s">
        <v>155</v>
      </c>
      <c r="S168" s="1" t="str">
        <f t="shared" si="13"/>
        <v/>
      </c>
      <c r="T168" s="1"/>
      <c r="U168" s="35" t="str">
        <f t="shared" si="12"/>
        <v/>
      </c>
    </row>
    <row r="169" spans="12:21" x14ac:dyDescent="0.25">
      <c r="L169" s="26">
        <v>166</v>
      </c>
      <c r="M169" t="s">
        <v>154</v>
      </c>
      <c r="N169" s="1" t="str">
        <f t="shared" si="10"/>
        <v/>
      </c>
      <c r="O169" s="31"/>
      <c r="P169" s="34" t="str">
        <f t="shared" si="11"/>
        <v/>
      </c>
      <c r="R169" t="s">
        <v>154</v>
      </c>
      <c r="S169" s="1" t="str">
        <f t="shared" si="13"/>
        <v/>
      </c>
      <c r="T169" s="1"/>
      <c r="U169" s="35" t="str">
        <f t="shared" si="12"/>
        <v/>
      </c>
    </row>
    <row r="170" spans="12:21" x14ac:dyDescent="0.25">
      <c r="L170" s="26">
        <v>167</v>
      </c>
      <c r="M170" t="s">
        <v>153</v>
      </c>
      <c r="N170" s="1" t="str">
        <f t="shared" si="10"/>
        <v/>
      </c>
      <c r="O170" s="31"/>
      <c r="P170" s="34" t="str">
        <f t="shared" si="11"/>
        <v/>
      </c>
      <c r="R170" t="s">
        <v>153</v>
      </c>
      <c r="S170" s="1" t="str">
        <f t="shared" si="13"/>
        <v/>
      </c>
      <c r="T170" s="1"/>
      <c r="U170" s="35" t="str">
        <f t="shared" si="12"/>
        <v/>
      </c>
    </row>
    <row r="171" spans="12:21" x14ac:dyDescent="0.25">
      <c r="L171" s="26">
        <v>168</v>
      </c>
      <c r="M171" t="s">
        <v>152</v>
      </c>
      <c r="N171" s="1" t="str">
        <f t="shared" si="10"/>
        <v/>
      </c>
      <c r="O171" s="31"/>
      <c r="P171" s="34" t="str">
        <f t="shared" si="11"/>
        <v/>
      </c>
      <c r="R171" t="s">
        <v>152</v>
      </c>
      <c r="S171" s="1" t="str">
        <f t="shared" si="13"/>
        <v/>
      </c>
      <c r="T171" s="1"/>
      <c r="U171" s="35" t="str">
        <f t="shared" si="12"/>
        <v/>
      </c>
    </row>
    <row r="172" spans="12:21" x14ac:dyDescent="0.25">
      <c r="L172" s="26">
        <v>169</v>
      </c>
      <c r="M172" t="s">
        <v>151</v>
      </c>
      <c r="N172" s="1" t="str">
        <f t="shared" si="10"/>
        <v/>
      </c>
      <c r="O172" s="31"/>
      <c r="P172" s="34" t="str">
        <f t="shared" si="11"/>
        <v/>
      </c>
      <c r="R172" t="s">
        <v>151</v>
      </c>
      <c r="S172" s="1" t="str">
        <f t="shared" si="13"/>
        <v/>
      </c>
      <c r="T172" s="1"/>
      <c r="U172" s="35" t="str">
        <f t="shared" si="12"/>
        <v/>
      </c>
    </row>
    <row r="173" spans="12:21" x14ac:dyDescent="0.25">
      <c r="L173" s="26">
        <v>170</v>
      </c>
      <c r="M173" t="s">
        <v>150</v>
      </c>
      <c r="N173" s="1" t="str">
        <f t="shared" si="10"/>
        <v/>
      </c>
      <c r="O173" s="31"/>
      <c r="P173" s="34" t="str">
        <f t="shared" si="11"/>
        <v/>
      </c>
      <c r="R173" t="s">
        <v>150</v>
      </c>
      <c r="S173" s="1" t="str">
        <f t="shared" si="13"/>
        <v/>
      </c>
      <c r="T173" s="1"/>
      <c r="U173" s="35" t="str">
        <f t="shared" si="12"/>
        <v/>
      </c>
    </row>
    <row r="174" spans="12:21" x14ac:dyDescent="0.25">
      <c r="L174" s="26">
        <v>171</v>
      </c>
      <c r="M174" t="s">
        <v>149</v>
      </c>
      <c r="N174" s="1" t="str">
        <f t="shared" si="10"/>
        <v/>
      </c>
      <c r="O174" s="31"/>
      <c r="P174" s="34" t="str">
        <f t="shared" si="11"/>
        <v/>
      </c>
      <c r="R174" t="s">
        <v>149</v>
      </c>
      <c r="S174" s="1" t="str">
        <f t="shared" si="13"/>
        <v/>
      </c>
      <c r="T174" s="1"/>
      <c r="U174" s="35" t="str">
        <f t="shared" si="12"/>
        <v/>
      </c>
    </row>
    <row r="175" spans="12:21" x14ac:dyDescent="0.25">
      <c r="L175" s="26">
        <v>172</v>
      </c>
      <c r="M175" t="s">
        <v>148</v>
      </c>
      <c r="N175" s="1" t="str">
        <f t="shared" si="10"/>
        <v/>
      </c>
      <c r="O175" s="31"/>
      <c r="P175" s="34" t="str">
        <f t="shared" si="11"/>
        <v/>
      </c>
      <c r="R175" t="s">
        <v>148</v>
      </c>
      <c r="S175" s="1" t="str">
        <f t="shared" si="13"/>
        <v/>
      </c>
      <c r="T175" s="1"/>
      <c r="U175" s="35" t="str">
        <f t="shared" si="12"/>
        <v/>
      </c>
    </row>
    <row r="176" spans="12:21" x14ac:dyDescent="0.25">
      <c r="L176" s="26">
        <v>173</v>
      </c>
      <c r="M176" t="s">
        <v>147</v>
      </c>
      <c r="N176" s="1" t="str">
        <f t="shared" si="10"/>
        <v/>
      </c>
      <c r="O176" s="31"/>
      <c r="P176" s="34" t="str">
        <f t="shared" si="11"/>
        <v/>
      </c>
      <c r="R176" t="s">
        <v>147</v>
      </c>
      <c r="S176" s="1" t="str">
        <f t="shared" si="13"/>
        <v/>
      </c>
      <c r="T176" s="1"/>
      <c r="U176" s="35" t="str">
        <f t="shared" si="12"/>
        <v/>
      </c>
    </row>
    <row r="177" spans="12:21" x14ac:dyDescent="0.25">
      <c r="L177" s="26">
        <v>174</v>
      </c>
      <c r="M177" t="s">
        <v>146</v>
      </c>
      <c r="N177" s="1" t="str">
        <f t="shared" si="10"/>
        <v/>
      </c>
      <c r="O177" s="31"/>
      <c r="P177" s="34" t="str">
        <f t="shared" si="11"/>
        <v/>
      </c>
      <c r="R177" t="s">
        <v>146</v>
      </c>
      <c r="S177" s="1" t="str">
        <f t="shared" si="13"/>
        <v/>
      </c>
      <c r="T177" s="1"/>
      <c r="U177" s="35" t="str">
        <f t="shared" si="12"/>
        <v/>
      </c>
    </row>
    <row r="178" spans="12:21" x14ac:dyDescent="0.25">
      <c r="L178" s="26">
        <v>175</v>
      </c>
      <c r="M178" t="s">
        <v>145</v>
      </c>
      <c r="N178" s="1" t="str">
        <f t="shared" si="10"/>
        <v/>
      </c>
      <c r="O178" s="31"/>
      <c r="P178" s="34" t="str">
        <f t="shared" si="11"/>
        <v/>
      </c>
      <c r="R178" t="s">
        <v>145</v>
      </c>
      <c r="S178" s="1" t="str">
        <f t="shared" si="13"/>
        <v/>
      </c>
      <c r="T178" s="1"/>
      <c r="U178" s="35" t="str">
        <f t="shared" si="12"/>
        <v/>
      </c>
    </row>
    <row r="179" spans="12:21" x14ac:dyDescent="0.25">
      <c r="L179" s="26">
        <v>176</v>
      </c>
      <c r="M179" t="s">
        <v>144</v>
      </c>
      <c r="N179" s="1" t="str">
        <f t="shared" si="10"/>
        <v/>
      </c>
      <c r="O179" s="31"/>
      <c r="P179" s="34" t="str">
        <f t="shared" si="11"/>
        <v/>
      </c>
      <c r="R179" t="s">
        <v>144</v>
      </c>
      <c r="S179" s="1" t="str">
        <f t="shared" si="13"/>
        <v/>
      </c>
      <c r="T179" s="1"/>
      <c r="U179" s="35" t="str">
        <f t="shared" si="12"/>
        <v/>
      </c>
    </row>
    <row r="180" spans="12:21" x14ac:dyDescent="0.25">
      <c r="L180" s="26">
        <v>177</v>
      </c>
      <c r="M180" t="s">
        <v>143</v>
      </c>
      <c r="N180" s="1" t="str">
        <f t="shared" si="10"/>
        <v/>
      </c>
      <c r="O180" s="31"/>
      <c r="P180" s="34" t="str">
        <f t="shared" si="11"/>
        <v/>
      </c>
      <c r="R180" t="s">
        <v>143</v>
      </c>
      <c r="S180" s="1" t="str">
        <f t="shared" si="13"/>
        <v/>
      </c>
      <c r="T180" s="1"/>
      <c r="U180" s="35" t="str">
        <f t="shared" si="12"/>
        <v/>
      </c>
    </row>
    <row r="181" spans="12:21" x14ac:dyDescent="0.25">
      <c r="L181" s="26">
        <v>178</v>
      </c>
      <c r="M181" t="s">
        <v>142</v>
      </c>
      <c r="N181" s="1" t="str">
        <f t="shared" si="10"/>
        <v/>
      </c>
      <c r="O181" s="31"/>
      <c r="P181" s="34" t="str">
        <f t="shared" si="11"/>
        <v/>
      </c>
      <c r="R181" t="s">
        <v>142</v>
      </c>
      <c r="S181" s="1" t="str">
        <f t="shared" si="13"/>
        <v/>
      </c>
      <c r="T181" s="1"/>
      <c r="U181" s="35" t="str">
        <f t="shared" si="12"/>
        <v/>
      </c>
    </row>
    <row r="182" spans="12:21" x14ac:dyDescent="0.25">
      <c r="L182" s="26">
        <v>179</v>
      </c>
      <c r="M182" t="s">
        <v>141</v>
      </c>
      <c r="N182" s="1" t="str">
        <f t="shared" si="10"/>
        <v/>
      </c>
      <c r="O182" s="31"/>
      <c r="P182" s="34" t="str">
        <f t="shared" si="11"/>
        <v/>
      </c>
      <c r="R182" t="s">
        <v>141</v>
      </c>
      <c r="S182" s="1" t="str">
        <f t="shared" si="13"/>
        <v/>
      </c>
      <c r="T182" s="1"/>
      <c r="U182" s="35" t="str">
        <f t="shared" si="12"/>
        <v/>
      </c>
    </row>
    <row r="183" spans="12:21" x14ac:dyDescent="0.25">
      <c r="L183" s="26">
        <v>180</v>
      </c>
      <c r="M183" t="s">
        <v>140</v>
      </c>
      <c r="N183" s="1" t="str">
        <f t="shared" si="10"/>
        <v/>
      </c>
      <c r="O183" s="31"/>
      <c r="P183" s="34" t="str">
        <f t="shared" si="11"/>
        <v/>
      </c>
      <c r="R183" t="s">
        <v>140</v>
      </c>
      <c r="S183" s="1" t="str">
        <f t="shared" si="13"/>
        <v/>
      </c>
      <c r="T183" s="1"/>
      <c r="U183" s="35" t="str">
        <f t="shared" si="12"/>
        <v/>
      </c>
    </row>
    <row r="184" spans="12:21" x14ac:dyDescent="0.25">
      <c r="L184" s="26">
        <v>181</v>
      </c>
      <c r="M184" t="s">
        <v>139</v>
      </c>
      <c r="N184" s="1" t="str">
        <f t="shared" si="10"/>
        <v/>
      </c>
      <c r="O184" s="31"/>
      <c r="P184" s="34" t="str">
        <f t="shared" si="11"/>
        <v/>
      </c>
      <c r="R184" t="s">
        <v>139</v>
      </c>
      <c r="S184" s="1" t="str">
        <f t="shared" si="13"/>
        <v/>
      </c>
      <c r="T184" s="1"/>
      <c r="U184" s="35" t="str">
        <f t="shared" si="12"/>
        <v/>
      </c>
    </row>
    <row r="185" spans="12:21" x14ac:dyDescent="0.25">
      <c r="L185" s="26">
        <v>182</v>
      </c>
      <c r="M185" t="s">
        <v>138</v>
      </c>
      <c r="N185" s="1" t="str">
        <f t="shared" si="10"/>
        <v/>
      </c>
      <c r="O185" s="31"/>
      <c r="P185" s="34" t="str">
        <f t="shared" si="11"/>
        <v/>
      </c>
      <c r="R185" t="s">
        <v>138</v>
      </c>
      <c r="S185" s="1" t="str">
        <f t="shared" si="13"/>
        <v/>
      </c>
      <c r="T185" s="1"/>
      <c r="U185" s="35" t="str">
        <f t="shared" si="12"/>
        <v/>
      </c>
    </row>
    <row r="186" spans="12:21" x14ac:dyDescent="0.25">
      <c r="L186" s="26">
        <v>183</v>
      </c>
      <c r="M186" t="s">
        <v>137</v>
      </c>
      <c r="N186" s="1" t="str">
        <f t="shared" si="10"/>
        <v/>
      </c>
      <c r="O186" s="31"/>
      <c r="P186" s="34" t="str">
        <f t="shared" si="11"/>
        <v/>
      </c>
      <c r="R186" t="s">
        <v>137</v>
      </c>
      <c r="S186" s="1" t="str">
        <f t="shared" si="13"/>
        <v/>
      </c>
      <c r="T186" s="1"/>
      <c r="U186" s="35" t="str">
        <f t="shared" si="12"/>
        <v/>
      </c>
    </row>
    <row r="187" spans="12:21" x14ac:dyDescent="0.25">
      <c r="L187" s="26">
        <v>184</v>
      </c>
      <c r="M187" t="s">
        <v>136</v>
      </c>
      <c r="N187" s="1" t="str">
        <f t="shared" si="10"/>
        <v/>
      </c>
      <c r="O187" s="31"/>
      <c r="P187" s="34" t="str">
        <f t="shared" si="11"/>
        <v/>
      </c>
      <c r="R187" t="s">
        <v>136</v>
      </c>
      <c r="S187" s="1" t="str">
        <f t="shared" si="13"/>
        <v/>
      </c>
      <c r="T187" s="1"/>
      <c r="U187" s="35" t="str">
        <f t="shared" si="12"/>
        <v/>
      </c>
    </row>
    <row r="188" spans="12:21" x14ac:dyDescent="0.25">
      <c r="L188" s="26">
        <v>185</v>
      </c>
      <c r="M188" t="s">
        <v>135</v>
      </c>
      <c r="N188" s="1" t="str">
        <f t="shared" si="10"/>
        <v/>
      </c>
      <c r="O188" s="31"/>
      <c r="P188" s="34" t="str">
        <f t="shared" si="11"/>
        <v/>
      </c>
      <c r="R188" t="s">
        <v>135</v>
      </c>
      <c r="S188" s="1" t="str">
        <f t="shared" si="13"/>
        <v/>
      </c>
      <c r="T188" s="1"/>
      <c r="U188" s="35" t="str">
        <f t="shared" si="12"/>
        <v/>
      </c>
    </row>
    <row r="189" spans="12:21" x14ac:dyDescent="0.25">
      <c r="L189" s="26">
        <v>186</v>
      </c>
      <c r="M189" t="s">
        <v>134</v>
      </c>
      <c r="N189" s="1" t="str">
        <f t="shared" si="10"/>
        <v/>
      </c>
      <c r="O189" s="31"/>
      <c r="P189" s="34" t="str">
        <f t="shared" si="11"/>
        <v/>
      </c>
      <c r="R189" t="s">
        <v>134</v>
      </c>
      <c r="S189" s="1" t="str">
        <f t="shared" si="13"/>
        <v/>
      </c>
      <c r="T189" s="1"/>
      <c r="U189" s="35" t="str">
        <f t="shared" si="12"/>
        <v/>
      </c>
    </row>
    <row r="190" spans="12:21" x14ac:dyDescent="0.25">
      <c r="L190" s="26">
        <v>187</v>
      </c>
      <c r="M190" t="s">
        <v>133</v>
      </c>
      <c r="N190" s="1" t="str">
        <f t="shared" si="10"/>
        <v/>
      </c>
      <c r="O190" s="31"/>
      <c r="P190" s="34" t="str">
        <f t="shared" si="11"/>
        <v/>
      </c>
      <c r="R190" t="s">
        <v>133</v>
      </c>
      <c r="S190" s="1" t="str">
        <f t="shared" si="13"/>
        <v/>
      </c>
      <c r="T190" s="1"/>
      <c r="U190" s="35" t="str">
        <f t="shared" si="12"/>
        <v/>
      </c>
    </row>
    <row r="191" spans="12:21" x14ac:dyDescent="0.25">
      <c r="L191" s="26">
        <v>188</v>
      </c>
      <c r="M191" t="s">
        <v>132</v>
      </c>
      <c r="N191" s="1" t="str">
        <f t="shared" si="10"/>
        <v/>
      </c>
      <c r="O191" s="31"/>
      <c r="P191" s="34" t="str">
        <f t="shared" si="11"/>
        <v/>
      </c>
      <c r="R191" t="s">
        <v>132</v>
      </c>
      <c r="S191" s="1" t="str">
        <f t="shared" si="13"/>
        <v/>
      </c>
      <c r="T191" s="1"/>
      <c r="U191" s="35" t="str">
        <f t="shared" si="12"/>
        <v/>
      </c>
    </row>
    <row r="192" spans="12:21" x14ac:dyDescent="0.25">
      <c r="L192" s="26">
        <v>189</v>
      </c>
      <c r="M192" t="s">
        <v>131</v>
      </c>
      <c r="N192" s="1" t="str">
        <f t="shared" si="10"/>
        <v/>
      </c>
      <c r="O192" s="31"/>
      <c r="P192" s="34" t="str">
        <f t="shared" si="11"/>
        <v/>
      </c>
      <c r="R192" t="s">
        <v>131</v>
      </c>
      <c r="S192" s="1" t="str">
        <f t="shared" si="13"/>
        <v/>
      </c>
      <c r="T192" s="1"/>
      <c r="U192" s="35" t="str">
        <f t="shared" si="12"/>
        <v/>
      </c>
    </row>
    <row r="193" spans="12:21" x14ac:dyDescent="0.25">
      <c r="L193" s="26">
        <v>190</v>
      </c>
      <c r="M193" t="s">
        <v>130</v>
      </c>
      <c r="N193" s="1" t="str">
        <f t="shared" si="10"/>
        <v/>
      </c>
      <c r="O193" s="31"/>
      <c r="P193" s="34" t="str">
        <f t="shared" si="11"/>
        <v/>
      </c>
      <c r="R193" t="s">
        <v>130</v>
      </c>
      <c r="S193" s="1" t="str">
        <f t="shared" si="13"/>
        <v/>
      </c>
      <c r="T193" s="1"/>
      <c r="U193" s="35" t="str">
        <f t="shared" si="12"/>
        <v/>
      </c>
    </row>
    <row r="194" spans="12:21" x14ac:dyDescent="0.25">
      <c r="L194" s="26">
        <v>191</v>
      </c>
      <c r="M194" t="s">
        <v>129</v>
      </c>
      <c r="N194" s="1" t="str">
        <f t="shared" si="10"/>
        <v/>
      </c>
      <c r="O194" s="31"/>
      <c r="P194" s="34" t="str">
        <f t="shared" si="11"/>
        <v/>
      </c>
      <c r="R194" t="s">
        <v>129</v>
      </c>
      <c r="S194" s="1" t="str">
        <f t="shared" si="13"/>
        <v/>
      </c>
      <c r="T194" s="1"/>
      <c r="U194" s="35" t="str">
        <f t="shared" si="12"/>
        <v/>
      </c>
    </row>
    <row r="195" spans="12:21" x14ac:dyDescent="0.25">
      <c r="L195" s="26">
        <v>192</v>
      </c>
      <c r="M195" t="s">
        <v>128</v>
      </c>
      <c r="N195" s="1" t="str">
        <f t="shared" si="10"/>
        <v/>
      </c>
      <c r="O195" s="31"/>
      <c r="P195" s="34" t="str">
        <f t="shared" si="11"/>
        <v/>
      </c>
      <c r="R195" t="s">
        <v>128</v>
      </c>
      <c r="S195" s="1" t="str">
        <f t="shared" si="13"/>
        <v/>
      </c>
      <c r="T195" s="1"/>
      <c r="U195" s="35" t="str">
        <f t="shared" si="12"/>
        <v/>
      </c>
    </row>
    <row r="196" spans="12:21" x14ac:dyDescent="0.25">
      <c r="L196" s="26">
        <v>193</v>
      </c>
      <c r="M196" t="s">
        <v>127</v>
      </c>
      <c r="N196" s="1" t="str">
        <f t="shared" si="10"/>
        <v/>
      </c>
      <c r="O196" s="31"/>
      <c r="P196" s="34" t="str">
        <f t="shared" si="11"/>
        <v/>
      </c>
      <c r="R196" t="s">
        <v>127</v>
      </c>
      <c r="S196" s="1" t="str">
        <f t="shared" si="13"/>
        <v/>
      </c>
      <c r="T196" s="1"/>
      <c r="U196" s="35" t="str">
        <f t="shared" si="12"/>
        <v/>
      </c>
    </row>
    <row r="197" spans="12:21" x14ac:dyDescent="0.25">
      <c r="L197" s="26">
        <v>194</v>
      </c>
      <c r="M197" t="s">
        <v>126</v>
      </c>
      <c r="N197" s="1" t="str">
        <f t="shared" ref="N197:N252" si="14">IF(L197&gt;$I$2,"",F197/$D$3-1)</f>
        <v/>
      </c>
      <c r="O197" s="31"/>
      <c r="P197" s="34" t="str">
        <f t="shared" ref="P197:P253" si="15">IF(AND(L197&lt;=$I$2,N197&lt;= -0.1),1,"")</f>
        <v/>
      </c>
      <c r="R197" t="s">
        <v>126</v>
      </c>
      <c r="S197" s="1" t="str">
        <f t="shared" si="13"/>
        <v/>
      </c>
      <c r="T197" s="1"/>
      <c r="U197" s="35" t="str">
        <f t="shared" ref="U197:U253" si="16">IF(AND(L197&lt;=$I$2,S197&gt;=0.2),1,"")</f>
        <v/>
      </c>
    </row>
    <row r="198" spans="12:21" x14ac:dyDescent="0.25">
      <c r="L198" s="26">
        <v>195</v>
      </c>
      <c r="M198" t="s">
        <v>125</v>
      </c>
      <c r="N198" s="1" t="str">
        <f t="shared" si="14"/>
        <v/>
      </c>
      <c r="O198" s="31"/>
      <c r="P198" s="34" t="str">
        <f t="shared" si="15"/>
        <v/>
      </c>
      <c r="R198" t="s">
        <v>125</v>
      </c>
      <c r="S198" s="1" t="str">
        <f t="shared" si="13"/>
        <v/>
      </c>
      <c r="T198" s="1"/>
      <c r="U198" s="35" t="str">
        <f t="shared" si="16"/>
        <v/>
      </c>
    </row>
    <row r="199" spans="12:21" x14ac:dyDescent="0.25">
      <c r="L199" s="26">
        <v>196</v>
      </c>
      <c r="M199" t="s">
        <v>124</v>
      </c>
      <c r="N199" s="1" t="str">
        <f t="shared" si="14"/>
        <v/>
      </c>
      <c r="O199" s="31"/>
      <c r="P199" s="34" t="str">
        <f t="shared" si="15"/>
        <v/>
      </c>
      <c r="R199" t="s">
        <v>124</v>
      </c>
      <c r="S199" s="1" t="str">
        <f t="shared" si="13"/>
        <v/>
      </c>
      <c r="T199" s="1"/>
      <c r="U199" s="35" t="str">
        <f t="shared" si="16"/>
        <v/>
      </c>
    </row>
    <row r="200" spans="12:21" x14ac:dyDescent="0.25">
      <c r="L200" s="26">
        <v>197</v>
      </c>
      <c r="M200" t="s">
        <v>123</v>
      </c>
      <c r="N200" s="1" t="str">
        <f t="shared" si="14"/>
        <v/>
      </c>
      <c r="O200" s="31"/>
      <c r="P200" s="34" t="str">
        <f t="shared" si="15"/>
        <v/>
      </c>
      <c r="R200" t="s">
        <v>123</v>
      </c>
      <c r="S200" s="1" t="str">
        <f t="shared" si="13"/>
        <v/>
      </c>
      <c r="T200" s="1"/>
      <c r="U200" s="35" t="str">
        <f t="shared" si="16"/>
        <v/>
      </c>
    </row>
    <row r="201" spans="12:21" x14ac:dyDescent="0.25">
      <c r="L201" s="26">
        <v>198</v>
      </c>
      <c r="M201" t="s">
        <v>122</v>
      </c>
      <c r="N201" s="1" t="str">
        <f t="shared" si="14"/>
        <v/>
      </c>
      <c r="O201" s="31"/>
      <c r="P201" s="34" t="str">
        <f t="shared" si="15"/>
        <v/>
      </c>
      <c r="R201" t="s">
        <v>122</v>
      </c>
      <c r="S201" s="1" t="str">
        <f t="shared" si="13"/>
        <v/>
      </c>
      <c r="T201" s="1"/>
      <c r="U201" s="35" t="str">
        <f t="shared" si="16"/>
        <v/>
      </c>
    </row>
    <row r="202" spans="12:21" x14ac:dyDescent="0.25">
      <c r="L202" s="26">
        <v>199</v>
      </c>
      <c r="M202" t="s">
        <v>121</v>
      </c>
      <c r="N202" s="1" t="str">
        <f t="shared" si="14"/>
        <v/>
      </c>
      <c r="O202" s="31"/>
      <c r="P202" s="34" t="str">
        <f t="shared" si="15"/>
        <v/>
      </c>
      <c r="R202" t="s">
        <v>121</v>
      </c>
      <c r="S202" s="1" t="str">
        <f t="shared" si="13"/>
        <v/>
      </c>
      <c r="T202" s="1"/>
      <c r="U202" s="35" t="str">
        <f t="shared" si="16"/>
        <v/>
      </c>
    </row>
    <row r="203" spans="12:21" x14ac:dyDescent="0.25">
      <c r="L203" s="26">
        <v>200</v>
      </c>
      <c r="M203" t="s">
        <v>120</v>
      </c>
      <c r="N203" s="1" t="str">
        <f t="shared" si="14"/>
        <v/>
      </c>
      <c r="O203" s="31"/>
      <c r="P203" s="34" t="str">
        <f t="shared" si="15"/>
        <v/>
      </c>
      <c r="R203" t="s">
        <v>120</v>
      </c>
      <c r="S203" s="1" t="str">
        <f t="shared" si="13"/>
        <v/>
      </c>
      <c r="T203" s="1"/>
      <c r="U203" s="35" t="str">
        <f t="shared" si="16"/>
        <v/>
      </c>
    </row>
    <row r="204" spans="12:21" x14ac:dyDescent="0.25">
      <c r="L204" s="26">
        <v>201</v>
      </c>
      <c r="M204" t="s">
        <v>119</v>
      </c>
      <c r="N204" s="1" t="str">
        <f t="shared" si="14"/>
        <v/>
      </c>
      <c r="O204" s="31"/>
      <c r="P204" s="34" t="str">
        <f t="shared" si="15"/>
        <v/>
      </c>
      <c r="R204" t="s">
        <v>119</v>
      </c>
      <c r="S204" s="1" t="str">
        <f t="shared" si="13"/>
        <v/>
      </c>
      <c r="T204" s="1"/>
      <c r="U204" s="35" t="str">
        <f t="shared" si="16"/>
        <v/>
      </c>
    </row>
    <row r="205" spans="12:21" x14ac:dyDescent="0.25">
      <c r="L205" s="26">
        <v>202</v>
      </c>
      <c r="M205" t="s">
        <v>118</v>
      </c>
      <c r="N205" s="1" t="str">
        <f t="shared" si="14"/>
        <v/>
      </c>
      <c r="O205" s="31"/>
      <c r="P205" s="34" t="str">
        <f t="shared" si="15"/>
        <v/>
      </c>
      <c r="R205" t="s">
        <v>118</v>
      </c>
      <c r="S205" s="1" t="str">
        <f t="shared" si="13"/>
        <v/>
      </c>
      <c r="T205" s="1"/>
      <c r="U205" s="35" t="str">
        <f t="shared" si="16"/>
        <v/>
      </c>
    </row>
    <row r="206" spans="12:21" x14ac:dyDescent="0.25">
      <c r="L206" s="26">
        <v>203</v>
      </c>
      <c r="M206" t="s">
        <v>117</v>
      </c>
      <c r="N206" s="1" t="str">
        <f t="shared" si="14"/>
        <v/>
      </c>
      <c r="O206" s="31"/>
      <c r="P206" s="34" t="str">
        <f t="shared" si="15"/>
        <v/>
      </c>
      <c r="R206" t="s">
        <v>117</v>
      </c>
      <c r="S206" s="1" t="str">
        <f t="shared" si="13"/>
        <v/>
      </c>
      <c r="T206" s="1"/>
      <c r="U206" s="35" t="str">
        <f t="shared" si="16"/>
        <v/>
      </c>
    </row>
    <row r="207" spans="12:21" x14ac:dyDescent="0.25">
      <c r="L207" s="26">
        <v>204</v>
      </c>
      <c r="M207" t="s">
        <v>116</v>
      </c>
      <c r="N207" s="1" t="str">
        <f t="shared" si="14"/>
        <v/>
      </c>
      <c r="O207" s="31"/>
      <c r="P207" s="34" t="str">
        <f t="shared" si="15"/>
        <v/>
      </c>
      <c r="R207" t="s">
        <v>116</v>
      </c>
      <c r="S207" s="1" t="str">
        <f t="shared" si="13"/>
        <v/>
      </c>
      <c r="T207" s="1"/>
      <c r="U207" s="35" t="str">
        <f t="shared" si="16"/>
        <v/>
      </c>
    </row>
    <row r="208" spans="12:21" x14ac:dyDescent="0.25">
      <c r="L208" s="26">
        <v>205</v>
      </c>
      <c r="M208" t="s">
        <v>115</v>
      </c>
      <c r="N208" s="1" t="str">
        <f t="shared" si="14"/>
        <v/>
      </c>
      <c r="O208" s="31"/>
      <c r="P208" s="34" t="str">
        <f t="shared" si="15"/>
        <v/>
      </c>
      <c r="R208" t="s">
        <v>115</v>
      </c>
      <c r="S208" s="1" t="str">
        <f t="shared" si="13"/>
        <v/>
      </c>
      <c r="T208" s="1"/>
      <c r="U208" s="35" t="str">
        <f t="shared" si="16"/>
        <v/>
      </c>
    </row>
    <row r="209" spans="12:21" x14ac:dyDescent="0.25">
      <c r="L209" s="26">
        <v>206</v>
      </c>
      <c r="M209" t="s">
        <v>114</v>
      </c>
      <c r="N209" s="1" t="str">
        <f t="shared" si="14"/>
        <v/>
      </c>
      <c r="O209" s="31"/>
      <c r="P209" s="34" t="str">
        <f t="shared" si="15"/>
        <v/>
      </c>
      <c r="R209" t="s">
        <v>114</v>
      </c>
      <c r="S209" s="1" t="str">
        <f t="shared" si="13"/>
        <v/>
      </c>
      <c r="T209" s="1"/>
      <c r="U209" s="35" t="str">
        <f t="shared" si="16"/>
        <v/>
      </c>
    </row>
    <row r="210" spans="12:21" x14ac:dyDescent="0.25">
      <c r="L210" s="26">
        <v>207</v>
      </c>
      <c r="M210" t="s">
        <v>113</v>
      </c>
      <c r="N210" s="1" t="str">
        <f t="shared" si="14"/>
        <v/>
      </c>
      <c r="O210" s="31"/>
      <c r="P210" s="34" t="str">
        <f t="shared" si="15"/>
        <v/>
      </c>
      <c r="R210" t="s">
        <v>113</v>
      </c>
      <c r="S210" s="1" t="str">
        <f t="shared" si="13"/>
        <v/>
      </c>
      <c r="T210" s="1"/>
      <c r="U210" s="35" t="str">
        <f t="shared" si="16"/>
        <v/>
      </c>
    </row>
    <row r="211" spans="12:21" x14ac:dyDescent="0.25">
      <c r="L211" s="26">
        <v>208</v>
      </c>
      <c r="M211" t="s">
        <v>112</v>
      </c>
      <c r="N211" s="1" t="str">
        <f t="shared" si="14"/>
        <v/>
      </c>
      <c r="O211" s="31"/>
      <c r="P211" s="34" t="str">
        <f t="shared" si="15"/>
        <v/>
      </c>
      <c r="R211" t="s">
        <v>112</v>
      </c>
      <c r="S211" s="1" t="str">
        <f t="shared" si="13"/>
        <v/>
      </c>
      <c r="T211" s="1"/>
      <c r="U211" s="35" t="str">
        <f t="shared" si="16"/>
        <v/>
      </c>
    </row>
    <row r="212" spans="12:21" x14ac:dyDescent="0.25">
      <c r="L212" s="26">
        <v>209</v>
      </c>
      <c r="M212" t="s">
        <v>111</v>
      </c>
      <c r="N212" s="1" t="str">
        <f t="shared" si="14"/>
        <v/>
      </c>
      <c r="O212" s="31"/>
      <c r="P212" s="34" t="str">
        <f t="shared" si="15"/>
        <v/>
      </c>
      <c r="R212" t="s">
        <v>111</v>
      </c>
      <c r="S212" s="1" t="str">
        <f t="shared" si="13"/>
        <v/>
      </c>
      <c r="T212" s="1"/>
      <c r="U212" s="35" t="str">
        <f t="shared" si="16"/>
        <v/>
      </c>
    </row>
    <row r="213" spans="12:21" x14ac:dyDescent="0.25">
      <c r="L213" s="26">
        <v>210</v>
      </c>
      <c r="M213" t="s">
        <v>110</v>
      </c>
      <c r="N213" s="1" t="str">
        <f t="shared" si="14"/>
        <v/>
      </c>
      <c r="O213" s="31"/>
      <c r="P213" s="34" t="str">
        <f t="shared" si="15"/>
        <v/>
      </c>
      <c r="R213" t="s">
        <v>110</v>
      </c>
      <c r="S213" s="1" t="str">
        <f t="shared" si="13"/>
        <v/>
      </c>
      <c r="T213" s="1"/>
      <c r="U213" s="35" t="str">
        <f t="shared" si="16"/>
        <v/>
      </c>
    </row>
    <row r="214" spans="12:21" x14ac:dyDescent="0.25">
      <c r="L214" s="26">
        <v>211</v>
      </c>
      <c r="M214" t="s">
        <v>109</v>
      </c>
      <c r="N214" s="1" t="str">
        <f t="shared" si="14"/>
        <v/>
      </c>
      <c r="O214" s="31"/>
      <c r="P214" s="34" t="str">
        <f t="shared" si="15"/>
        <v/>
      </c>
      <c r="R214" t="s">
        <v>109</v>
      </c>
      <c r="S214" s="1" t="str">
        <f t="shared" si="13"/>
        <v/>
      </c>
      <c r="T214" s="1"/>
      <c r="U214" s="35" t="str">
        <f t="shared" si="16"/>
        <v/>
      </c>
    </row>
    <row r="215" spans="12:21" x14ac:dyDescent="0.25">
      <c r="L215" s="26">
        <v>212</v>
      </c>
      <c r="M215" t="s">
        <v>108</v>
      </c>
      <c r="N215" s="1" t="str">
        <f t="shared" si="14"/>
        <v/>
      </c>
      <c r="O215" s="31"/>
      <c r="P215" s="34" t="str">
        <f t="shared" si="15"/>
        <v/>
      </c>
      <c r="R215" t="s">
        <v>108</v>
      </c>
      <c r="S215" s="1" t="str">
        <f t="shared" si="13"/>
        <v/>
      </c>
      <c r="T215" s="1"/>
      <c r="U215" s="35" t="str">
        <f t="shared" si="16"/>
        <v/>
      </c>
    </row>
    <row r="216" spans="12:21" x14ac:dyDescent="0.25">
      <c r="L216" s="26">
        <v>213</v>
      </c>
      <c r="M216" t="s">
        <v>107</v>
      </c>
      <c r="N216" s="1" t="str">
        <f t="shared" si="14"/>
        <v/>
      </c>
      <c r="O216" s="31"/>
      <c r="P216" s="34" t="str">
        <f t="shared" si="15"/>
        <v/>
      </c>
      <c r="R216" t="s">
        <v>107</v>
      </c>
      <c r="S216" s="1" t="str">
        <f t="shared" ref="S216:S252" si="17">IF(L216&gt;$I$2,"",E216/$D$3-1)</f>
        <v/>
      </c>
      <c r="T216" s="1"/>
      <c r="U216" s="35" t="str">
        <f t="shared" si="16"/>
        <v/>
      </c>
    </row>
    <row r="217" spans="12:21" x14ac:dyDescent="0.25">
      <c r="L217" s="26">
        <v>214</v>
      </c>
      <c r="M217" t="s">
        <v>106</v>
      </c>
      <c r="N217" s="1" t="str">
        <f t="shared" si="14"/>
        <v/>
      </c>
      <c r="O217" s="31"/>
      <c r="P217" s="34" t="str">
        <f t="shared" si="15"/>
        <v/>
      </c>
      <c r="R217" t="s">
        <v>106</v>
      </c>
      <c r="S217" s="1" t="str">
        <f t="shared" si="17"/>
        <v/>
      </c>
      <c r="T217" s="1"/>
      <c r="U217" s="35" t="str">
        <f t="shared" si="16"/>
        <v/>
      </c>
    </row>
    <row r="218" spans="12:21" x14ac:dyDescent="0.25">
      <c r="L218" s="26">
        <v>215</v>
      </c>
      <c r="M218" t="s">
        <v>105</v>
      </c>
      <c r="N218" s="1" t="str">
        <f t="shared" si="14"/>
        <v/>
      </c>
      <c r="O218" s="31"/>
      <c r="P218" s="34" t="str">
        <f t="shared" si="15"/>
        <v/>
      </c>
      <c r="R218" t="s">
        <v>105</v>
      </c>
      <c r="S218" s="1" t="str">
        <f t="shared" si="17"/>
        <v/>
      </c>
      <c r="T218" s="1"/>
      <c r="U218" s="35" t="str">
        <f t="shared" si="16"/>
        <v/>
      </c>
    </row>
    <row r="219" spans="12:21" x14ac:dyDescent="0.25">
      <c r="L219" s="26">
        <v>216</v>
      </c>
      <c r="M219" t="s">
        <v>104</v>
      </c>
      <c r="N219" s="1" t="str">
        <f t="shared" si="14"/>
        <v/>
      </c>
      <c r="O219" s="31"/>
      <c r="P219" s="34" t="str">
        <f t="shared" si="15"/>
        <v/>
      </c>
      <c r="R219" t="s">
        <v>104</v>
      </c>
      <c r="S219" s="1" t="str">
        <f t="shared" si="17"/>
        <v/>
      </c>
      <c r="T219" s="1"/>
      <c r="U219" s="35" t="str">
        <f t="shared" si="16"/>
        <v/>
      </c>
    </row>
    <row r="220" spans="12:21" x14ac:dyDescent="0.25">
      <c r="L220" s="26">
        <v>217</v>
      </c>
      <c r="M220" t="s">
        <v>103</v>
      </c>
      <c r="N220" s="1" t="str">
        <f t="shared" si="14"/>
        <v/>
      </c>
      <c r="O220" s="31"/>
      <c r="P220" s="34" t="str">
        <f t="shared" si="15"/>
        <v/>
      </c>
      <c r="R220" t="s">
        <v>103</v>
      </c>
      <c r="S220" s="1" t="str">
        <f t="shared" si="17"/>
        <v/>
      </c>
      <c r="T220" s="1"/>
      <c r="U220" s="35" t="str">
        <f t="shared" si="16"/>
        <v/>
      </c>
    </row>
    <row r="221" spans="12:21" x14ac:dyDescent="0.25">
      <c r="L221" s="26">
        <v>218</v>
      </c>
      <c r="M221" t="s">
        <v>102</v>
      </c>
      <c r="N221" s="1" t="str">
        <f t="shared" si="14"/>
        <v/>
      </c>
      <c r="O221" s="31"/>
      <c r="P221" s="34" t="str">
        <f t="shared" si="15"/>
        <v/>
      </c>
      <c r="R221" t="s">
        <v>102</v>
      </c>
      <c r="S221" s="1" t="str">
        <f t="shared" si="17"/>
        <v/>
      </c>
      <c r="T221" s="1"/>
      <c r="U221" s="35" t="str">
        <f t="shared" si="16"/>
        <v/>
      </c>
    </row>
    <row r="222" spans="12:21" x14ac:dyDescent="0.25">
      <c r="L222" s="26">
        <v>219</v>
      </c>
      <c r="M222" t="s">
        <v>101</v>
      </c>
      <c r="N222" s="1" t="str">
        <f t="shared" si="14"/>
        <v/>
      </c>
      <c r="O222" s="31"/>
      <c r="P222" s="34" t="str">
        <f t="shared" si="15"/>
        <v/>
      </c>
      <c r="R222" t="s">
        <v>101</v>
      </c>
      <c r="S222" s="1" t="str">
        <f t="shared" si="17"/>
        <v/>
      </c>
      <c r="T222" s="1"/>
      <c r="U222" s="35" t="str">
        <f t="shared" si="16"/>
        <v/>
      </c>
    </row>
    <row r="223" spans="12:21" x14ac:dyDescent="0.25">
      <c r="L223" s="26">
        <v>220</v>
      </c>
      <c r="M223" t="s">
        <v>100</v>
      </c>
      <c r="N223" s="1" t="str">
        <f t="shared" si="14"/>
        <v/>
      </c>
      <c r="O223" s="31"/>
      <c r="P223" s="34" t="str">
        <f t="shared" si="15"/>
        <v/>
      </c>
      <c r="R223" t="s">
        <v>100</v>
      </c>
      <c r="S223" s="1" t="str">
        <f t="shared" si="17"/>
        <v/>
      </c>
      <c r="T223" s="1"/>
      <c r="U223" s="35" t="str">
        <f t="shared" si="16"/>
        <v/>
      </c>
    </row>
    <row r="224" spans="12:21" x14ac:dyDescent="0.25">
      <c r="L224" s="26">
        <v>221</v>
      </c>
      <c r="M224" t="s">
        <v>99</v>
      </c>
      <c r="N224" s="1" t="str">
        <f t="shared" si="14"/>
        <v/>
      </c>
      <c r="O224" s="31"/>
      <c r="P224" s="34" t="str">
        <f t="shared" si="15"/>
        <v/>
      </c>
      <c r="R224" t="s">
        <v>99</v>
      </c>
      <c r="S224" s="1" t="str">
        <f t="shared" si="17"/>
        <v/>
      </c>
      <c r="T224" s="1"/>
      <c r="U224" s="35" t="str">
        <f t="shared" si="16"/>
        <v/>
      </c>
    </row>
    <row r="225" spans="12:21" x14ac:dyDescent="0.25">
      <c r="L225" s="26">
        <v>222</v>
      </c>
      <c r="M225" t="s">
        <v>98</v>
      </c>
      <c r="N225" s="1" t="str">
        <f t="shared" si="14"/>
        <v/>
      </c>
      <c r="O225" s="31"/>
      <c r="P225" s="34" t="str">
        <f t="shared" si="15"/>
        <v/>
      </c>
      <c r="R225" t="s">
        <v>98</v>
      </c>
      <c r="S225" s="1" t="str">
        <f t="shared" si="17"/>
        <v/>
      </c>
      <c r="T225" s="1"/>
      <c r="U225" s="35" t="str">
        <f t="shared" si="16"/>
        <v/>
      </c>
    </row>
    <row r="226" spans="12:21" x14ac:dyDescent="0.25">
      <c r="L226" s="26">
        <v>223</v>
      </c>
      <c r="M226" t="s">
        <v>97</v>
      </c>
      <c r="N226" s="1" t="str">
        <f t="shared" si="14"/>
        <v/>
      </c>
      <c r="O226" s="31"/>
      <c r="P226" s="34" t="str">
        <f t="shared" si="15"/>
        <v/>
      </c>
      <c r="R226" t="s">
        <v>97</v>
      </c>
      <c r="S226" s="1" t="str">
        <f t="shared" si="17"/>
        <v/>
      </c>
      <c r="T226" s="1"/>
      <c r="U226" s="35" t="str">
        <f t="shared" si="16"/>
        <v/>
      </c>
    </row>
    <row r="227" spans="12:21" x14ac:dyDescent="0.25">
      <c r="L227" s="26">
        <v>224</v>
      </c>
      <c r="M227" t="s">
        <v>96</v>
      </c>
      <c r="N227" s="1" t="str">
        <f t="shared" si="14"/>
        <v/>
      </c>
      <c r="O227" s="31"/>
      <c r="P227" s="34" t="str">
        <f t="shared" si="15"/>
        <v/>
      </c>
      <c r="R227" t="s">
        <v>96</v>
      </c>
      <c r="S227" s="1" t="str">
        <f t="shared" si="17"/>
        <v/>
      </c>
      <c r="T227" s="1"/>
      <c r="U227" s="35" t="str">
        <f t="shared" si="16"/>
        <v/>
      </c>
    </row>
    <row r="228" spans="12:21" x14ac:dyDescent="0.25">
      <c r="L228" s="26">
        <v>225</v>
      </c>
      <c r="M228" t="s">
        <v>95</v>
      </c>
      <c r="N228" s="1" t="str">
        <f t="shared" si="14"/>
        <v/>
      </c>
      <c r="O228" s="31"/>
      <c r="P228" s="34" t="str">
        <f t="shared" si="15"/>
        <v/>
      </c>
      <c r="R228" t="s">
        <v>95</v>
      </c>
      <c r="S228" s="1" t="str">
        <f t="shared" si="17"/>
        <v/>
      </c>
      <c r="T228" s="1"/>
      <c r="U228" s="35" t="str">
        <f t="shared" si="16"/>
        <v/>
      </c>
    </row>
    <row r="229" spans="12:21" x14ac:dyDescent="0.25">
      <c r="L229" s="26">
        <v>226</v>
      </c>
      <c r="M229" t="s">
        <v>94</v>
      </c>
      <c r="N229" s="1" t="str">
        <f t="shared" si="14"/>
        <v/>
      </c>
      <c r="O229" s="31"/>
      <c r="P229" s="34" t="str">
        <f t="shared" si="15"/>
        <v/>
      </c>
      <c r="R229" t="s">
        <v>94</v>
      </c>
      <c r="S229" s="1" t="str">
        <f t="shared" si="17"/>
        <v/>
      </c>
      <c r="T229" s="1"/>
      <c r="U229" s="35" t="str">
        <f t="shared" si="16"/>
        <v/>
      </c>
    </row>
    <row r="230" spans="12:21" x14ac:dyDescent="0.25">
      <c r="L230" s="26">
        <v>227</v>
      </c>
      <c r="M230" t="s">
        <v>93</v>
      </c>
      <c r="N230" s="1" t="str">
        <f t="shared" si="14"/>
        <v/>
      </c>
      <c r="O230" s="31"/>
      <c r="P230" s="34" t="str">
        <f t="shared" si="15"/>
        <v/>
      </c>
      <c r="R230" t="s">
        <v>93</v>
      </c>
      <c r="S230" s="1" t="str">
        <f t="shared" si="17"/>
        <v/>
      </c>
      <c r="T230" s="1"/>
      <c r="U230" s="35" t="str">
        <f t="shared" si="16"/>
        <v/>
      </c>
    </row>
    <row r="231" spans="12:21" x14ac:dyDescent="0.25">
      <c r="L231" s="26">
        <v>228</v>
      </c>
      <c r="M231" t="s">
        <v>92</v>
      </c>
      <c r="N231" s="1" t="str">
        <f t="shared" si="14"/>
        <v/>
      </c>
      <c r="O231" s="31"/>
      <c r="P231" s="34" t="str">
        <f t="shared" si="15"/>
        <v/>
      </c>
      <c r="R231" t="s">
        <v>92</v>
      </c>
      <c r="S231" s="1" t="str">
        <f t="shared" si="17"/>
        <v/>
      </c>
      <c r="T231" s="1"/>
      <c r="U231" s="35" t="str">
        <f t="shared" si="16"/>
        <v/>
      </c>
    </row>
    <row r="232" spans="12:21" x14ac:dyDescent="0.25">
      <c r="L232" s="26">
        <v>229</v>
      </c>
      <c r="M232" t="s">
        <v>91</v>
      </c>
      <c r="N232" s="1" t="str">
        <f t="shared" si="14"/>
        <v/>
      </c>
      <c r="O232" s="31"/>
      <c r="P232" s="34" t="str">
        <f t="shared" si="15"/>
        <v/>
      </c>
      <c r="R232" t="s">
        <v>91</v>
      </c>
      <c r="S232" s="1" t="str">
        <f t="shared" si="17"/>
        <v/>
      </c>
      <c r="T232" s="1"/>
      <c r="U232" s="35" t="str">
        <f t="shared" si="16"/>
        <v/>
      </c>
    </row>
    <row r="233" spans="12:21" x14ac:dyDescent="0.25">
      <c r="L233" s="26">
        <v>230</v>
      </c>
      <c r="M233" t="s">
        <v>90</v>
      </c>
      <c r="N233" s="1" t="str">
        <f t="shared" si="14"/>
        <v/>
      </c>
      <c r="O233" s="31"/>
      <c r="P233" s="34" t="str">
        <f t="shared" si="15"/>
        <v/>
      </c>
      <c r="R233" t="s">
        <v>90</v>
      </c>
      <c r="S233" s="1" t="str">
        <f t="shared" si="17"/>
        <v/>
      </c>
      <c r="T233" s="1"/>
      <c r="U233" s="35" t="str">
        <f t="shared" si="16"/>
        <v/>
      </c>
    </row>
    <row r="234" spans="12:21" x14ac:dyDescent="0.25">
      <c r="L234" s="26">
        <v>231</v>
      </c>
      <c r="M234" t="s">
        <v>89</v>
      </c>
      <c r="N234" s="1" t="str">
        <f t="shared" si="14"/>
        <v/>
      </c>
      <c r="O234" s="31"/>
      <c r="P234" s="34" t="str">
        <f t="shared" si="15"/>
        <v/>
      </c>
      <c r="R234" t="s">
        <v>89</v>
      </c>
      <c r="S234" s="1" t="str">
        <f t="shared" si="17"/>
        <v/>
      </c>
      <c r="T234" s="1"/>
      <c r="U234" s="35" t="str">
        <f t="shared" si="16"/>
        <v/>
      </c>
    </row>
    <row r="235" spans="12:21" x14ac:dyDescent="0.25">
      <c r="L235" s="26">
        <v>232</v>
      </c>
      <c r="M235" t="s">
        <v>88</v>
      </c>
      <c r="N235" s="1" t="str">
        <f t="shared" si="14"/>
        <v/>
      </c>
      <c r="O235" s="31"/>
      <c r="P235" s="34" t="str">
        <f t="shared" si="15"/>
        <v/>
      </c>
      <c r="R235" t="s">
        <v>88</v>
      </c>
      <c r="S235" s="1" t="str">
        <f t="shared" si="17"/>
        <v/>
      </c>
      <c r="T235" s="1"/>
      <c r="U235" s="35" t="str">
        <f t="shared" si="16"/>
        <v/>
      </c>
    </row>
    <row r="236" spans="12:21" x14ac:dyDescent="0.25">
      <c r="L236" s="26">
        <v>233</v>
      </c>
      <c r="M236" t="s">
        <v>87</v>
      </c>
      <c r="N236" s="1" t="str">
        <f t="shared" si="14"/>
        <v/>
      </c>
      <c r="O236" s="31"/>
      <c r="P236" s="34" t="str">
        <f t="shared" si="15"/>
        <v/>
      </c>
      <c r="R236" t="s">
        <v>87</v>
      </c>
      <c r="S236" s="1" t="str">
        <f t="shared" si="17"/>
        <v/>
      </c>
      <c r="T236" s="1"/>
      <c r="U236" s="35" t="str">
        <f t="shared" si="16"/>
        <v/>
      </c>
    </row>
    <row r="237" spans="12:21" x14ac:dyDescent="0.25">
      <c r="L237" s="26">
        <v>234</v>
      </c>
      <c r="M237" t="s">
        <v>86</v>
      </c>
      <c r="N237" s="1" t="str">
        <f t="shared" si="14"/>
        <v/>
      </c>
      <c r="O237" s="31"/>
      <c r="P237" s="34" t="str">
        <f t="shared" si="15"/>
        <v/>
      </c>
      <c r="R237" t="s">
        <v>86</v>
      </c>
      <c r="S237" s="1" t="str">
        <f t="shared" si="17"/>
        <v/>
      </c>
      <c r="T237" s="1"/>
      <c r="U237" s="35" t="str">
        <f t="shared" si="16"/>
        <v/>
      </c>
    </row>
    <row r="238" spans="12:21" x14ac:dyDescent="0.25">
      <c r="L238" s="26">
        <v>235</v>
      </c>
      <c r="M238" t="s">
        <v>85</v>
      </c>
      <c r="N238" s="1" t="str">
        <f t="shared" si="14"/>
        <v/>
      </c>
      <c r="O238" s="31"/>
      <c r="P238" s="34" t="str">
        <f t="shared" si="15"/>
        <v/>
      </c>
      <c r="R238" t="s">
        <v>85</v>
      </c>
      <c r="S238" s="1" t="str">
        <f t="shared" si="17"/>
        <v/>
      </c>
      <c r="T238" s="1"/>
      <c r="U238" s="35" t="str">
        <f t="shared" si="16"/>
        <v/>
      </c>
    </row>
    <row r="239" spans="12:21" x14ac:dyDescent="0.25">
      <c r="L239" s="26">
        <v>236</v>
      </c>
      <c r="M239" t="s">
        <v>84</v>
      </c>
      <c r="N239" s="1" t="str">
        <f t="shared" si="14"/>
        <v/>
      </c>
      <c r="O239" s="31"/>
      <c r="P239" s="34" t="str">
        <f t="shared" si="15"/>
        <v/>
      </c>
      <c r="R239" t="s">
        <v>84</v>
      </c>
      <c r="S239" s="1" t="str">
        <f t="shared" si="17"/>
        <v/>
      </c>
      <c r="T239" s="1"/>
      <c r="U239" s="35" t="str">
        <f t="shared" si="16"/>
        <v/>
      </c>
    </row>
    <row r="240" spans="12:21" x14ac:dyDescent="0.25">
      <c r="L240" s="26">
        <v>237</v>
      </c>
      <c r="M240" t="s">
        <v>83</v>
      </c>
      <c r="N240" s="1" t="str">
        <f t="shared" si="14"/>
        <v/>
      </c>
      <c r="O240" s="31"/>
      <c r="P240" s="34" t="str">
        <f t="shared" si="15"/>
        <v/>
      </c>
      <c r="R240" t="s">
        <v>83</v>
      </c>
      <c r="S240" s="1" t="str">
        <f t="shared" si="17"/>
        <v/>
      </c>
      <c r="T240" s="1"/>
      <c r="U240" s="35" t="str">
        <f t="shared" si="16"/>
        <v/>
      </c>
    </row>
    <row r="241" spans="12:21" x14ac:dyDescent="0.25">
      <c r="L241" s="26">
        <v>238</v>
      </c>
      <c r="M241" t="s">
        <v>82</v>
      </c>
      <c r="N241" s="1" t="str">
        <f t="shared" si="14"/>
        <v/>
      </c>
      <c r="O241" s="31"/>
      <c r="P241" s="34" t="str">
        <f t="shared" si="15"/>
        <v/>
      </c>
      <c r="R241" t="s">
        <v>82</v>
      </c>
      <c r="S241" s="1" t="str">
        <f t="shared" si="17"/>
        <v/>
      </c>
      <c r="T241" s="1"/>
      <c r="U241" s="35" t="str">
        <f t="shared" si="16"/>
        <v/>
      </c>
    </row>
    <row r="242" spans="12:21" x14ac:dyDescent="0.25">
      <c r="L242" s="26">
        <v>239</v>
      </c>
      <c r="M242" t="s">
        <v>81</v>
      </c>
      <c r="N242" s="1" t="str">
        <f t="shared" si="14"/>
        <v/>
      </c>
      <c r="O242" s="31"/>
      <c r="P242" s="34" t="str">
        <f t="shared" si="15"/>
        <v/>
      </c>
      <c r="R242" t="s">
        <v>81</v>
      </c>
      <c r="S242" s="1" t="str">
        <f t="shared" si="17"/>
        <v/>
      </c>
      <c r="T242" s="1"/>
      <c r="U242" s="35" t="str">
        <f t="shared" si="16"/>
        <v/>
      </c>
    </row>
    <row r="243" spans="12:21" x14ac:dyDescent="0.25">
      <c r="L243" s="26">
        <v>240</v>
      </c>
      <c r="M243" t="s">
        <v>80</v>
      </c>
      <c r="N243" s="1" t="str">
        <f t="shared" si="14"/>
        <v/>
      </c>
      <c r="O243" s="31"/>
      <c r="P243" s="34" t="str">
        <f t="shared" si="15"/>
        <v/>
      </c>
      <c r="R243" t="s">
        <v>80</v>
      </c>
      <c r="S243" s="1" t="str">
        <f t="shared" si="17"/>
        <v/>
      </c>
      <c r="T243" s="1"/>
      <c r="U243" s="35" t="str">
        <f t="shared" si="16"/>
        <v/>
      </c>
    </row>
    <row r="244" spans="12:21" x14ac:dyDescent="0.25">
      <c r="L244" s="26">
        <v>241</v>
      </c>
      <c r="M244" t="s">
        <v>79</v>
      </c>
      <c r="N244" s="1" t="str">
        <f t="shared" si="14"/>
        <v/>
      </c>
      <c r="O244" s="31"/>
      <c r="P244" s="34" t="str">
        <f t="shared" si="15"/>
        <v/>
      </c>
      <c r="R244" t="s">
        <v>79</v>
      </c>
      <c r="S244" s="1" t="str">
        <f t="shared" si="17"/>
        <v/>
      </c>
      <c r="T244" s="1"/>
      <c r="U244" s="35" t="str">
        <f t="shared" si="16"/>
        <v/>
      </c>
    </row>
    <row r="245" spans="12:21" x14ac:dyDescent="0.25">
      <c r="L245" s="26">
        <v>242</v>
      </c>
      <c r="M245" t="s">
        <v>78</v>
      </c>
      <c r="N245" s="1" t="str">
        <f t="shared" si="14"/>
        <v/>
      </c>
      <c r="O245" s="31"/>
      <c r="P245" s="34" t="str">
        <f t="shared" si="15"/>
        <v/>
      </c>
      <c r="R245" t="s">
        <v>78</v>
      </c>
      <c r="S245" s="1" t="str">
        <f t="shared" si="17"/>
        <v/>
      </c>
      <c r="T245" s="1"/>
      <c r="U245" s="35" t="str">
        <f t="shared" si="16"/>
        <v/>
      </c>
    </row>
    <row r="246" spans="12:21" x14ac:dyDescent="0.25">
      <c r="L246" s="26">
        <v>243</v>
      </c>
      <c r="M246" t="s">
        <v>77</v>
      </c>
      <c r="N246" s="1" t="str">
        <f t="shared" si="14"/>
        <v/>
      </c>
      <c r="O246" s="31"/>
      <c r="P246" s="34" t="str">
        <f t="shared" si="15"/>
        <v/>
      </c>
      <c r="R246" t="s">
        <v>77</v>
      </c>
      <c r="S246" s="1" t="str">
        <f t="shared" si="17"/>
        <v/>
      </c>
      <c r="T246" s="1"/>
      <c r="U246" s="35" t="str">
        <f t="shared" si="16"/>
        <v/>
      </c>
    </row>
    <row r="247" spans="12:21" x14ac:dyDescent="0.25">
      <c r="L247" s="26">
        <v>244</v>
      </c>
      <c r="M247" t="s">
        <v>76</v>
      </c>
      <c r="N247" s="1" t="str">
        <f t="shared" si="14"/>
        <v/>
      </c>
      <c r="O247" s="31"/>
      <c r="P247" s="34" t="str">
        <f t="shared" si="15"/>
        <v/>
      </c>
      <c r="R247" t="s">
        <v>76</v>
      </c>
      <c r="S247" s="1" t="str">
        <f t="shared" si="17"/>
        <v/>
      </c>
      <c r="T247" s="1"/>
      <c r="U247" s="35" t="str">
        <f t="shared" si="16"/>
        <v/>
      </c>
    </row>
    <row r="248" spans="12:21" x14ac:dyDescent="0.25">
      <c r="L248" s="26">
        <v>245</v>
      </c>
      <c r="M248" t="s">
        <v>75</v>
      </c>
      <c r="N248" s="1" t="str">
        <f t="shared" si="14"/>
        <v/>
      </c>
      <c r="O248" s="31"/>
      <c r="P248" s="34" t="str">
        <f t="shared" si="15"/>
        <v/>
      </c>
      <c r="R248" t="s">
        <v>75</v>
      </c>
      <c r="S248" s="1" t="str">
        <f t="shared" si="17"/>
        <v/>
      </c>
      <c r="T248" s="1"/>
      <c r="U248" s="35" t="str">
        <f t="shared" si="16"/>
        <v/>
      </c>
    </row>
    <row r="249" spans="12:21" x14ac:dyDescent="0.25">
      <c r="L249" s="26">
        <v>246</v>
      </c>
      <c r="M249" t="s">
        <v>74</v>
      </c>
      <c r="N249" s="1" t="str">
        <f t="shared" si="14"/>
        <v/>
      </c>
      <c r="O249" s="31"/>
      <c r="P249" s="34" t="str">
        <f t="shared" si="15"/>
        <v/>
      </c>
      <c r="R249" t="s">
        <v>74</v>
      </c>
      <c r="S249" s="1" t="str">
        <f t="shared" si="17"/>
        <v/>
      </c>
      <c r="T249" s="1"/>
      <c r="U249" s="35" t="str">
        <f t="shared" si="16"/>
        <v/>
      </c>
    </row>
    <row r="250" spans="12:21" x14ac:dyDescent="0.25">
      <c r="L250" s="26">
        <v>247</v>
      </c>
      <c r="M250" t="s">
        <v>73</v>
      </c>
      <c r="N250" s="1" t="str">
        <f t="shared" si="14"/>
        <v/>
      </c>
      <c r="O250" s="31"/>
      <c r="P250" s="34" t="str">
        <f t="shared" si="15"/>
        <v/>
      </c>
      <c r="R250" t="s">
        <v>73</v>
      </c>
      <c r="S250" s="1" t="str">
        <f t="shared" si="17"/>
        <v/>
      </c>
      <c r="T250" s="1"/>
      <c r="U250" s="35" t="str">
        <f t="shared" si="16"/>
        <v/>
      </c>
    </row>
    <row r="251" spans="12:21" x14ac:dyDescent="0.25">
      <c r="L251" s="26">
        <v>248</v>
      </c>
      <c r="M251" t="s">
        <v>72</v>
      </c>
      <c r="N251" s="1" t="str">
        <f t="shared" si="14"/>
        <v/>
      </c>
      <c r="O251" s="31"/>
      <c r="P251" s="34" t="str">
        <f t="shared" si="15"/>
        <v/>
      </c>
      <c r="R251" t="s">
        <v>72</v>
      </c>
      <c r="S251" s="1" t="str">
        <f t="shared" si="17"/>
        <v/>
      </c>
      <c r="T251" s="1"/>
      <c r="U251" s="35" t="str">
        <f t="shared" si="16"/>
        <v/>
      </c>
    </row>
    <row r="252" spans="12:21" x14ac:dyDescent="0.25">
      <c r="L252" s="26">
        <v>249</v>
      </c>
      <c r="M252" t="s">
        <v>71</v>
      </c>
      <c r="N252" s="1" t="str">
        <f t="shared" si="14"/>
        <v/>
      </c>
      <c r="O252" s="31"/>
      <c r="P252" s="34" t="str">
        <f t="shared" si="15"/>
        <v/>
      </c>
      <c r="R252" t="s">
        <v>71</v>
      </c>
      <c r="S252" s="1" t="str">
        <f t="shared" si="17"/>
        <v/>
      </c>
      <c r="T252" s="1"/>
      <c r="U252" s="35" t="str">
        <f t="shared" si="16"/>
        <v/>
      </c>
    </row>
    <row r="253" spans="12:21" x14ac:dyDescent="0.25">
      <c r="L253" s="26">
        <v>250</v>
      </c>
      <c r="M253" t="s">
        <v>70</v>
      </c>
      <c r="N253" s="1" t="str">
        <f>IF(L253&gt;$I$2,"",F253/$D$3-1)</f>
        <v/>
      </c>
      <c r="O253" s="31"/>
      <c r="P253" s="34" t="str">
        <f t="shared" si="15"/>
        <v/>
      </c>
      <c r="R253" t="s">
        <v>70</v>
      </c>
      <c r="S253" s="1" t="str">
        <f>IF(L253&gt;$I$2,"",E253/$D$3-1)</f>
        <v/>
      </c>
      <c r="T253" s="1"/>
      <c r="U253" s="35" t="str">
        <f t="shared" si="16"/>
        <v/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9D93C-86C8-4367-9ECE-0AC4E56A5CA1}">
  <dimension ref="A1:U253"/>
  <sheetViews>
    <sheetView workbookViewId="0"/>
  </sheetViews>
  <sheetFormatPr defaultRowHeight="16.5" x14ac:dyDescent="0.25"/>
  <sheetData>
    <row r="1" spans="1:21" x14ac:dyDescent="0.25">
      <c r="A1" s="2" t="str">
        <f>"cmoneylookup|"&amp;B1&amp;回測表!A4&amp;C1&amp;回測表!B4&amp;D1&amp;回測表!C4&amp;E1</f>
        <v>cmoneylookup|&lt;&lt;LKQbXHjQyC$VmN7^hIU0FLBkWHRMfHRZ2BDwHUWcFQGVRF7Z8D73XRQndMUIkCEvVAEV{GRQBB9VOBog40GJyFjAhAkQBAGniJ93dD9RWE80gAQMTFlrHFAFN4V0r5X8HHBAHRQnvMUIkCFJT&gt;&gt;20060330&lt;&lt;21}JyAAAsUmVpIQjuMEsC&gt;&gt;20060523&lt;&lt;21}JyAAAsUmV7MQIfP$NZ2V7z&gt;&gt;5488&lt;&lt;21}Jy6}vxC8^XB{$Pn0eR{EP6bg6kl{iLqGHFcMH0tm{Pd^aejv7yqeRDkeyWswTMYw1BlD2IaGnJBkjI2UUR}fP8n{}liOCDqsuV9v}UL}8HGBnXFl8PqtLYv3bulwkgV$VmN8^7N{8bRjr2FnYc8fGlRQvdITQ7CCFWMmZJL9EpRQj8MWM$CCfnJlBA0RbBAT74WRE323h3ktQz&gt;&gt;</v>
      </c>
      <c r="B1" s="2" t="s">
        <v>64</v>
      </c>
      <c r="C1" s="2" t="s">
        <v>7</v>
      </c>
      <c r="D1" s="2" t="s">
        <v>8</v>
      </c>
      <c r="E1" s="2" t="s">
        <v>24</v>
      </c>
      <c r="F1" s="2"/>
    </row>
    <row r="2" spans="1:21" x14ac:dyDescent="0.25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6" t="s">
        <v>14</v>
      </c>
      <c r="H2" s="3" t="s">
        <v>28</v>
      </c>
      <c r="I2" s="28">
        <f>COUNTA(A:A)-3</f>
        <v>36</v>
      </c>
      <c r="M2" t="s">
        <v>294</v>
      </c>
      <c r="N2" s="30">
        <f>MIN($N$4:$N$4000)</f>
        <v>-9.0826521344232747E-3</v>
      </c>
      <c r="O2" s="37" t="s">
        <v>307</v>
      </c>
      <c r="P2" s="38">
        <v>1</v>
      </c>
      <c r="R2" t="s">
        <v>296</v>
      </c>
      <c r="S2" s="30">
        <f>MAX($S$4:$S$4000)</f>
        <v>0.70027247956403271</v>
      </c>
      <c r="T2" s="37" t="s">
        <v>298</v>
      </c>
      <c r="U2" s="25">
        <v>1</v>
      </c>
    </row>
    <row r="3" spans="1:21" x14ac:dyDescent="0.25">
      <c r="A3" s="26">
        <v>20060330</v>
      </c>
      <c r="B3" s="26">
        <v>5488</v>
      </c>
      <c r="C3" s="26" t="s">
        <v>317</v>
      </c>
      <c r="D3" s="26">
        <v>11.01</v>
      </c>
      <c r="E3" s="26">
        <v>11.31</v>
      </c>
      <c r="F3" s="26">
        <v>10.98</v>
      </c>
      <c r="H3" s="3" t="s">
        <v>38</v>
      </c>
      <c r="I3" s="29">
        <f>IF($I$2&lt;5,"",D8/D3-1)</f>
        <v>6.6303360581289716E-2</v>
      </c>
      <c r="M3" t="s">
        <v>293</v>
      </c>
      <c r="N3">
        <f>IF(ISERROR(INDEX($A$4:$A$4000,MATCH($N$2,$N$4:$N$4000,0))),"",INDEX($A$4:$A$4000,MATCH($N$2,$N$4:$N$4000,0)))</f>
        <v>20060331</v>
      </c>
      <c r="O3" t="s">
        <v>293</v>
      </c>
      <c r="P3" s="25" t="str">
        <f>IF(ISERROR(INDEX($A$4:$A$4000,MATCH($P$2,$P$4:$P$4000,0))),"",INDEX($A$4:$A$4000,MATCH($P$2,$P$4:$P$4000,0)))</f>
        <v/>
      </c>
      <c r="R3" t="s">
        <v>293</v>
      </c>
      <c r="S3">
        <f>IF(ISERROR(INDEX($A$4:$A$4000,MATCH($S$2,$S$4:$S$4000,0))),"",INDEX($A$4:$A$4000,MATCH($S$2,$S$4:$S$4000,0)))</f>
        <v>20060522</v>
      </c>
      <c r="T3" t="s">
        <v>293</v>
      </c>
      <c r="U3" s="25">
        <f>IF(ISERROR(INDEX($A$4:$A$4000,MATCH($U$2,$U$4:$U$4000,0))),"",INDEX($A$4:$A$4000,MATCH($U$2,$U$4:$U$4000,0)))</f>
        <v>20060414</v>
      </c>
    </row>
    <row r="4" spans="1:21" x14ac:dyDescent="0.25">
      <c r="A4" s="26">
        <v>20060331</v>
      </c>
      <c r="B4" s="26">
        <v>5488</v>
      </c>
      <c r="C4" s="26" t="s">
        <v>317</v>
      </c>
      <c r="D4" s="26">
        <v>11.05</v>
      </c>
      <c r="E4" s="26">
        <v>11.15</v>
      </c>
      <c r="F4" s="26">
        <v>10.91</v>
      </c>
      <c r="H4" s="3" t="s">
        <v>29</v>
      </c>
      <c r="I4" s="29">
        <f>IF($I$2&lt;10,"",D13/D3-1)</f>
        <v>0.21344232515894634</v>
      </c>
      <c r="K4" t="s">
        <v>65</v>
      </c>
      <c r="L4" s="26">
        <v>1</v>
      </c>
      <c r="M4" t="s">
        <v>39</v>
      </c>
      <c r="N4" s="1">
        <f>IF(L4&gt;$I$2,"",F4/$D$3-1)</f>
        <v>-9.0826521344232747E-3</v>
      </c>
      <c r="O4" s="31"/>
      <c r="P4" s="34" t="str">
        <f>IF(AND(L4&lt;=$I$2,N4&lt;= -0.1),1,"")</f>
        <v/>
      </c>
      <c r="Q4" t="s">
        <v>295</v>
      </c>
      <c r="R4" t="s">
        <v>39</v>
      </c>
      <c r="S4" s="1">
        <f>IF(L4&gt;$I$2,"",E4/$D$3-1)</f>
        <v>1.2715712988192518E-2</v>
      </c>
      <c r="T4" s="1"/>
      <c r="U4" s="35" t="str">
        <f>IF(AND(L4&lt;=$I$2,S4&gt;=0.2),1,"")</f>
        <v/>
      </c>
    </row>
    <row r="5" spans="1:21" x14ac:dyDescent="0.25">
      <c r="A5" s="26">
        <v>20060403</v>
      </c>
      <c r="B5" s="26">
        <v>5488</v>
      </c>
      <c r="C5" s="26" t="s">
        <v>317</v>
      </c>
      <c r="D5" s="26">
        <v>11.58</v>
      </c>
      <c r="E5" s="26">
        <v>11.74</v>
      </c>
      <c r="F5" s="26">
        <v>11.08</v>
      </c>
      <c r="H5" s="3" t="s">
        <v>31</v>
      </c>
      <c r="I5" s="29">
        <f>IF($I$2&lt;20,"",D23/D3-1)</f>
        <v>0.20163487738419628</v>
      </c>
      <c r="L5" s="26">
        <v>2</v>
      </c>
      <c r="M5" t="s">
        <v>40</v>
      </c>
      <c r="N5" s="1">
        <f t="shared" ref="N5:N68" si="0">IF(L5&gt;$I$2,"",F5/$D$3-1)</f>
        <v>6.357856494096259E-3</v>
      </c>
      <c r="O5" s="31"/>
      <c r="P5" s="34" t="str">
        <f t="shared" ref="P5:P68" si="1">IF(AND(L5&lt;=$I$2,N5&lt;= -0.1),1,"")</f>
        <v/>
      </c>
      <c r="R5" t="s">
        <v>40</v>
      </c>
      <c r="S5" s="1">
        <f>IF(L5&gt;$I$2,"",E5/$D$3-1)</f>
        <v>6.6303360581289716E-2</v>
      </c>
      <c r="T5" s="1"/>
      <c r="U5" s="35" t="str">
        <f t="shared" ref="U5:U68" si="2">IF(AND(L5&lt;=$I$2,S5&gt;=0.2),1,"")</f>
        <v/>
      </c>
    </row>
    <row r="6" spans="1:21" x14ac:dyDescent="0.25">
      <c r="A6" s="26">
        <v>20060404</v>
      </c>
      <c r="B6" s="26">
        <v>5488</v>
      </c>
      <c r="C6" s="26" t="s">
        <v>317</v>
      </c>
      <c r="D6" s="26">
        <v>11.84</v>
      </c>
      <c r="E6" s="26">
        <v>12.14</v>
      </c>
      <c r="F6" s="26">
        <v>11.61</v>
      </c>
      <c r="L6" s="26">
        <v>3</v>
      </c>
      <c r="M6" t="s">
        <v>41</v>
      </c>
      <c r="N6" s="1">
        <f t="shared" si="0"/>
        <v>5.4495912806539426E-2</v>
      </c>
      <c r="O6" s="31"/>
      <c r="P6" s="34" t="str">
        <f t="shared" si="1"/>
        <v/>
      </c>
      <c r="R6" t="s">
        <v>41</v>
      </c>
      <c r="S6" s="1">
        <f>IF(L6&gt;$I$2,"",E6/$D$3-1)</f>
        <v>0.10263396911898282</v>
      </c>
      <c r="T6" s="1"/>
      <c r="U6" s="35" t="str">
        <f t="shared" si="2"/>
        <v/>
      </c>
    </row>
    <row r="7" spans="1:21" x14ac:dyDescent="0.25">
      <c r="A7" s="26">
        <v>20060406</v>
      </c>
      <c r="B7" s="26">
        <v>5488</v>
      </c>
      <c r="C7" s="26" t="s">
        <v>317</v>
      </c>
      <c r="D7" s="26">
        <v>12.1</v>
      </c>
      <c r="E7" s="26">
        <v>12.24</v>
      </c>
      <c r="F7" s="26">
        <v>11.87</v>
      </c>
      <c r="L7" s="26">
        <v>4</v>
      </c>
      <c r="M7" t="s">
        <v>42</v>
      </c>
      <c r="N7" s="1">
        <f t="shared" si="0"/>
        <v>7.8110808356040007E-2</v>
      </c>
      <c r="O7" s="31"/>
      <c r="P7" s="34" t="str">
        <f t="shared" si="1"/>
        <v/>
      </c>
      <c r="R7" t="s">
        <v>42</v>
      </c>
      <c r="S7" s="1">
        <f t="shared" ref="S7:S11" si="3">IF(L7&gt;$I$2,"",E7/$D$3-1)</f>
        <v>0.11171662125340598</v>
      </c>
      <c r="T7" s="1"/>
      <c r="U7" s="35" t="str">
        <f t="shared" si="2"/>
        <v/>
      </c>
    </row>
    <row r="8" spans="1:21" x14ac:dyDescent="0.25">
      <c r="A8" s="26">
        <v>20060407</v>
      </c>
      <c r="B8" s="26">
        <v>5488</v>
      </c>
      <c r="C8" s="26" t="s">
        <v>317</v>
      </c>
      <c r="D8" s="26">
        <v>11.74</v>
      </c>
      <c r="E8" s="26">
        <v>12.17</v>
      </c>
      <c r="F8" s="26">
        <v>11.74</v>
      </c>
      <c r="L8" s="26">
        <v>5</v>
      </c>
      <c r="M8" t="s">
        <v>37</v>
      </c>
      <c r="N8" s="1">
        <f t="shared" si="0"/>
        <v>6.6303360581289716E-2</v>
      </c>
      <c r="O8" s="31"/>
      <c r="P8" s="34" t="str">
        <f t="shared" si="1"/>
        <v/>
      </c>
      <c r="R8" t="s">
        <v>37</v>
      </c>
      <c r="S8" s="1">
        <f t="shared" si="3"/>
        <v>0.10535876475930972</v>
      </c>
      <c r="T8" s="1"/>
      <c r="U8" s="35" t="str">
        <f t="shared" si="2"/>
        <v/>
      </c>
    </row>
    <row r="9" spans="1:21" x14ac:dyDescent="0.25">
      <c r="A9" s="26">
        <v>20060410</v>
      </c>
      <c r="B9" s="26">
        <v>5488</v>
      </c>
      <c r="C9" s="26" t="s">
        <v>317</v>
      </c>
      <c r="D9" s="26">
        <v>11.87</v>
      </c>
      <c r="E9" s="26">
        <v>12.1</v>
      </c>
      <c r="F9" s="26">
        <v>11.81</v>
      </c>
      <c r="L9" s="26">
        <v>6</v>
      </c>
      <c r="M9" t="s">
        <v>43</v>
      </c>
      <c r="N9" s="1">
        <f t="shared" si="0"/>
        <v>7.2661217075385975E-2</v>
      </c>
      <c r="O9" s="31"/>
      <c r="P9" s="34" t="str">
        <f t="shared" si="1"/>
        <v/>
      </c>
      <c r="R9" t="s">
        <v>43</v>
      </c>
      <c r="S9" s="1">
        <f t="shared" si="3"/>
        <v>9.9000908265213461E-2</v>
      </c>
      <c r="T9" s="1"/>
      <c r="U9" s="35" t="str">
        <f t="shared" si="2"/>
        <v/>
      </c>
    </row>
    <row r="10" spans="1:21" x14ac:dyDescent="0.25">
      <c r="A10" s="26">
        <v>20060411</v>
      </c>
      <c r="B10" s="26">
        <v>5488</v>
      </c>
      <c r="C10" s="26" t="s">
        <v>317</v>
      </c>
      <c r="D10" s="26">
        <v>11.97</v>
      </c>
      <c r="E10" s="26">
        <v>11.97</v>
      </c>
      <c r="F10" s="26">
        <v>11.74</v>
      </c>
      <c r="L10" s="26">
        <v>7</v>
      </c>
      <c r="M10" t="s">
        <v>44</v>
      </c>
      <c r="N10" s="1">
        <f t="shared" si="0"/>
        <v>6.6303360581289716E-2</v>
      </c>
      <c r="O10" s="31"/>
      <c r="P10" s="34" t="str">
        <f t="shared" si="1"/>
        <v/>
      </c>
      <c r="R10" t="s">
        <v>44</v>
      </c>
      <c r="S10" s="1">
        <f t="shared" si="3"/>
        <v>8.7193460490463393E-2</v>
      </c>
      <c r="T10" s="1"/>
      <c r="U10" s="35" t="str">
        <f t="shared" si="2"/>
        <v/>
      </c>
    </row>
    <row r="11" spans="1:21" x14ac:dyDescent="0.25">
      <c r="A11" s="26">
        <v>20060412</v>
      </c>
      <c r="B11" s="26">
        <v>5488</v>
      </c>
      <c r="C11" s="26" t="s">
        <v>317</v>
      </c>
      <c r="D11" s="26">
        <v>11.97</v>
      </c>
      <c r="E11" s="26">
        <v>12.04</v>
      </c>
      <c r="F11" s="26">
        <v>11.81</v>
      </c>
      <c r="L11" s="26">
        <v>8</v>
      </c>
      <c r="M11" t="s">
        <v>45</v>
      </c>
      <c r="N11" s="1">
        <f t="shared" si="0"/>
        <v>7.2661217075385975E-2</v>
      </c>
      <c r="O11" s="31"/>
      <c r="P11" s="34" t="str">
        <f t="shared" si="1"/>
        <v/>
      </c>
      <c r="R11" t="s">
        <v>45</v>
      </c>
      <c r="S11" s="1">
        <f t="shared" si="3"/>
        <v>9.3551316984559429E-2</v>
      </c>
      <c r="T11" s="1"/>
      <c r="U11" s="35" t="str">
        <f t="shared" si="2"/>
        <v/>
      </c>
    </row>
    <row r="12" spans="1:21" x14ac:dyDescent="0.25">
      <c r="A12" s="26">
        <v>20060413</v>
      </c>
      <c r="B12" s="26">
        <v>5488</v>
      </c>
      <c r="C12" s="26" t="s">
        <v>317</v>
      </c>
      <c r="D12" s="26">
        <v>12.5</v>
      </c>
      <c r="E12" s="26">
        <v>12.77</v>
      </c>
      <c r="F12" s="26">
        <v>12.1</v>
      </c>
      <c r="L12" s="26">
        <v>9</v>
      </c>
      <c r="M12" t="s">
        <v>46</v>
      </c>
      <c r="N12" s="1">
        <f>IF(L12&gt;$I$2,"",F12/$D$3-1)</f>
        <v>9.9000908265213461E-2</v>
      </c>
      <c r="O12" s="31"/>
      <c r="P12" s="34" t="str">
        <f t="shared" si="1"/>
        <v/>
      </c>
      <c r="R12" t="s">
        <v>46</v>
      </c>
      <c r="S12" s="1">
        <f>IF(L12&gt;$I$2,"",E12/$D$3-1)</f>
        <v>0.15985467756584915</v>
      </c>
      <c r="T12" s="1"/>
      <c r="U12" s="35" t="str">
        <f t="shared" si="2"/>
        <v/>
      </c>
    </row>
    <row r="13" spans="1:21" x14ac:dyDescent="0.25">
      <c r="A13" s="26">
        <v>20060414</v>
      </c>
      <c r="B13" s="26">
        <v>5488</v>
      </c>
      <c r="C13" s="26" t="s">
        <v>317</v>
      </c>
      <c r="D13" s="26">
        <v>13.36</v>
      </c>
      <c r="E13" s="26">
        <v>13.36</v>
      </c>
      <c r="F13" s="26">
        <v>12.63</v>
      </c>
      <c r="L13" s="26">
        <v>10</v>
      </c>
      <c r="M13" t="s">
        <v>47</v>
      </c>
      <c r="N13" s="1">
        <f t="shared" si="0"/>
        <v>0.14713896457765685</v>
      </c>
      <c r="O13" s="31"/>
      <c r="P13" s="34" t="str">
        <f t="shared" si="1"/>
        <v/>
      </c>
      <c r="R13" t="s">
        <v>47</v>
      </c>
      <c r="S13" s="1">
        <f>IF(L13&gt;$I$2,"",E13/$D$3-1)</f>
        <v>0.21344232515894634</v>
      </c>
      <c r="T13" s="1"/>
      <c r="U13" s="35">
        <f t="shared" si="2"/>
        <v>1</v>
      </c>
    </row>
    <row r="14" spans="1:21" x14ac:dyDescent="0.25">
      <c r="A14" s="26">
        <v>20060417</v>
      </c>
      <c r="B14" s="26">
        <v>5488</v>
      </c>
      <c r="C14" s="26" t="s">
        <v>317</v>
      </c>
      <c r="D14" s="26">
        <v>13.56</v>
      </c>
      <c r="E14" s="26">
        <v>14.22</v>
      </c>
      <c r="F14" s="26">
        <v>13.56</v>
      </c>
      <c r="L14" s="26">
        <v>11</v>
      </c>
      <c r="M14" t="s">
        <v>48</v>
      </c>
      <c r="N14" s="1">
        <f t="shared" si="0"/>
        <v>0.23160762942779289</v>
      </c>
      <c r="O14" s="31"/>
      <c r="P14" s="34" t="str">
        <f t="shared" si="1"/>
        <v/>
      </c>
      <c r="R14" t="s">
        <v>48</v>
      </c>
      <c r="S14" s="1">
        <f>IF(L14&gt;$I$2,"",E14/$D$3-1)</f>
        <v>0.29155313351498635</v>
      </c>
      <c r="T14" s="1"/>
      <c r="U14" s="35">
        <f t="shared" si="2"/>
        <v>1</v>
      </c>
    </row>
    <row r="15" spans="1:21" x14ac:dyDescent="0.25">
      <c r="A15" s="26">
        <v>20060418</v>
      </c>
      <c r="B15" s="26">
        <v>5488</v>
      </c>
      <c r="C15" s="26" t="s">
        <v>317</v>
      </c>
      <c r="D15" s="26">
        <v>13.76</v>
      </c>
      <c r="E15" s="26">
        <v>13.82</v>
      </c>
      <c r="F15" s="26">
        <v>13.1</v>
      </c>
      <c r="L15" s="26">
        <v>12</v>
      </c>
      <c r="M15" t="s">
        <v>49</v>
      </c>
      <c r="N15" s="1">
        <f t="shared" si="0"/>
        <v>0.18982742960944599</v>
      </c>
      <c r="O15" s="31"/>
      <c r="P15" s="34" t="str">
        <f t="shared" si="1"/>
        <v/>
      </c>
      <c r="R15" t="s">
        <v>49</v>
      </c>
      <c r="S15" s="1">
        <f t="shared" ref="S15:S18" si="4">IF(L15&gt;$I$2,"",E15/$D$3-1)</f>
        <v>0.25522252497729347</v>
      </c>
      <c r="T15" s="1"/>
      <c r="U15" s="35">
        <f t="shared" si="2"/>
        <v>1</v>
      </c>
    </row>
    <row r="16" spans="1:21" x14ac:dyDescent="0.25">
      <c r="A16" s="26">
        <v>20060419</v>
      </c>
      <c r="B16" s="26">
        <v>5488</v>
      </c>
      <c r="C16" s="26" t="s">
        <v>317</v>
      </c>
      <c r="D16" s="26">
        <v>13.72</v>
      </c>
      <c r="E16" s="26">
        <v>14.02</v>
      </c>
      <c r="F16" s="26">
        <v>13.43</v>
      </c>
      <c r="L16" s="26">
        <v>13</v>
      </c>
      <c r="M16" t="s">
        <v>50</v>
      </c>
      <c r="N16" s="1">
        <f t="shared" si="0"/>
        <v>0.2198001816530426</v>
      </c>
      <c r="O16" s="31"/>
      <c r="P16" s="34" t="str">
        <f t="shared" si="1"/>
        <v/>
      </c>
      <c r="R16" t="s">
        <v>50</v>
      </c>
      <c r="S16" s="1">
        <f t="shared" si="4"/>
        <v>0.2733878292461398</v>
      </c>
      <c r="T16" s="1"/>
      <c r="U16" s="35">
        <f t="shared" si="2"/>
        <v>1</v>
      </c>
    </row>
    <row r="17" spans="1:21" x14ac:dyDescent="0.25">
      <c r="A17" s="26">
        <v>20060420</v>
      </c>
      <c r="B17" s="26">
        <v>5488</v>
      </c>
      <c r="C17" s="26" t="s">
        <v>317</v>
      </c>
      <c r="D17" s="26">
        <v>13.72</v>
      </c>
      <c r="E17" s="26">
        <v>14.02</v>
      </c>
      <c r="F17" s="26">
        <v>13.36</v>
      </c>
      <c r="L17" s="26">
        <v>14</v>
      </c>
      <c r="M17" t="s">
        <v>51</v>
      </c>
      <c r="N17" s="1">
        <f t="shared" si="0"/>
        <v>0.21344232515894634</v>
      </c>
      <c r="O17" s="31"/>
      <c r="P17" s="34" t="str">
        <f t="shared" si="1"/>
        <v/>
      </c>
      <c r="R17" t="s">
        <v>51</v>
      </c>
      <c r="S17" s="1">
        <f t="shared" si="4"/>
        <v>0.2733878292461398</v>
      </c>
      <c r="T17" s="1"/>
      <c r="U17" s="35">
        <f t="shared" si="2"/>
        <v>1</v>
      </c>
    </row>
    <row r="18" spans="1:21" x14ac:dyDescent="0.25">
      <c r="A18" s="26">
        <v>20060421</v>
      </c>
      <c r="B18" s="26">
        <v>5488</v>
      </c>
      <c r="C18" s="26" t="s">
        <v>317</v>
      </c>
      <c r="D18" s="26">
        <v>14.25</v>
      </c>
      <c r="E18" s="26">
        <v>14.68</v>
      </c>
      <c r="F18" s="26">
        <v>13.56</v>
      </c>
      <c r="L18" s="26">
        <v>15</v>
      </c>
      <c r="M18" t="s">
        <v>52</v>
      </c>
      <c r="N18" s="1">
        <f t="shared" si="0"/>
        <v>0.23160762942779289</v>
      </c>
      <c r="O18" s="31"/>
      <c r="P18" s="34" t="str">
        <f t="shared" si="1"/>
        <v/>
      </c>
      <c r="R18" t="s">
        <v>52</v>
      </c>
      <c r="S18" s="1">
        <f t="shared" si="4"/>
        <v>0.33333333333333326</v>
      </c>
      <c r="T18" s="1"/>
      <c r="U18" s="35">
        <f t="shared" si="2"/>
        <v>1</v>
      </c>
    </row>
    <row r="19" spans="1:21" x14ac:dyDescent="0.25">
      <c r="A19" s="26">
        <v>20060424</v>
      </c>
      <c r="B19" s="26">
        <v>5488</v>
      </c>
      <c r="C19" s="26" t="s">
        <v>317</v>
      </c>
      <c r="D19" s="26">
        <v>13.92</v>
      </c>
      <c r="E19" s="26">
        <v>14.42</v>
      </c>
      <c r="F19" s="26">
        <v>13.72</v>
      </c>
      <c r="L19" s="26">
        <v>16</v>
      </c>
      <c r="M19" t="s">
        <v>53</v>
      </c>
      <c r="N19" s="1">
        <f t="shared" si="0"/>
        <v>0.24613987284287031</v>
      </c>
      <c r="O19" s="31"/>
      <c r="P19" s="34" t="str">
        <f t="shared" si="1"/>
        <v/>
      </c>
      <c r="R19" t="s">
        <v>53</v>
      </c>
      <c r="S19" s="1">
        <f>IF(L19&gt;$I$2,"",E19/$D$3-1)</f>
        <v>0.3097184377838329</v>
      </c>
      <c r="T19" s="1"/>
      <c r="U19" s="35">
        <f t="shared" si="2"/>
        <v>1</v>
      </c>
    </row>
    <row r="20" spans="1:21" x14ac:dyDescent="0.25">
      <c r="A20" s="26">
        <v>20060425</v>
      </c>
      <c r="B20" s="26">
        <v>5488</v>
      </c>
      <c r="C20" s="26" t="s">
        <v>317</v>
      </c>
      <c r="D20" s="26">
        <v>13.2</v>
      </c>
      <c r="E20" s="26">
        <v>14.15</v>
      </c>
      <c r="F20" s="26">
        <v>13.03</v>
      </c>
      <c r="L20" s="26">
        <v>17</v>
      </c>
      <c r="M20" t="s">
        <v>54</v>
      </c>
      <c r="N20" s="1">
        <f t="shared" si="0"/>
        <v>0.18346957311534973</v>
      </c>
      <c r="O20" s="31"/>
      <c r="P20" s="34" t="str">
        <f t="shared" si="1"/>
        <v/>
      </c>
      <c r="R20" t="s">
        <v>54</v>
      </c>
      <c r="S20" s="1">
        <f>IF(L20&gt;$I$2,"",E20/$D$3-1)</f>
        <v>0.28519527702089009</v>
      </c>
      <c r="T20" s="1"/>
      <c r="U20" s="35">
        <f t="shared" si="2"/>
        <v>1</v>
      </c>
    </row>
    <row r="21" spans="1:21" x14ac:dyDescent="0.25">
      <c r="A21" s="26">
        <v>20060426</v>
      </c>
      <c r="B21" s="26">
        <v>5488</v>
      </c>
      <c r="C21" s="26" t="s">
        <v>317</v>
      </c>
      <c r="D21" s="26">
        <v>13.49</v>
      </c>
      <c r="E21" s="26">
        <v>13.56</v>
      </c>
      <c r="F21" s="26">
        <v>13.23</v>
      </c>
      <c r="L21" s="26">
        <v>18</v>
      </c>
      <c r="M21" t="s">
        <v>55</v>
      </c>
      <c r="N21" s="1">
        <f t="shared" si="0"/>
        <v>0.20163487738419628</v>
      </c>
      <c r="O21" s="31"/>
      <c r="P21" s="34" t="str">
        <f t="shared" si="1"/>
        <v/>
      </c>
      <c r="R21" t="s">
        <v>55</v>
      </c>
      <c r="S21" s="1">
        <f>IF(L21&gt;$I$2,"",E21/$D$3-1)</f>
        <v>0.23160762942779289</v>
      </c>
      <c r="T21" s="1"/>
      <c r="U21" s="35">
        <f t="shared" si="2"/>
        <v>1</v>
      </c>
    </row>
    <row r="22" spans="1:21" x14ac:dyDescent="0.25">
      <c r="A22" s="26">
        <v>20060427</v>
      </c>
      <c r="B22" s="26">
        <v>5488</v>
      </c>
      <c r="C22" s="26" t="s">
        <v>317</v>
      </c>
      <c r="D22" s="26">
        <v>13</v>
      </c>
      <c r="E22" s="26">
        <v>13.59</v>
      </c>
      <c r="F22" s="26">
        <v>12.96</v>
      </c>
      <c r="L22" s="26">
        <v>19</v>
      </c>
      <c r="M22" t="s">
        <v>56</v>
      </c>
      <c r="N22" s="1">
        <f t="shared" si="0"/>
        <v>0.17711171662125347</v>
      </c>
      <c r="O22" s="31"/>
      <c r="P22" s="34" t="str">
        <f t="shared" si="1"/>
        <v/>
      </c>
      <c r="R22" t="s">
        <v>56</v>
      </c>
      <c r="S22" s="1">
        <f>IF(L22&gt;$I$2,"",E22/$D$3-1)</f>
        <v>0.2343324250681198</v>
      </c>
      <c r="T22" s="1"/>
      <c r="U22" s="35">
        <f t="shared" si="2"/>
        <v>1</v>
      </c>
    </row>
    <row r="23" spans="1:21" x14ac:dyDescent="0.25">
      <c r="A23" s="26">
        <v>20060428</v>
      </c>
      <c r="B23" s="26">
        <v>5488</v>
      </c>
      <c r="C23" s="26" t="s">
        <v>317</v>
      </c>
      <c r="D23" s="26">
        <v>13.23</v>
      </c>
      <c r="E23" s="26">
        <v>13.23</v>
      </c>
      <c r="F23" s="26">
        <v>12.77</v>
      </c>
      <c r="L23" s="26">
        <v>20</v>
      </c>
      <c r="M23" t="s">
        <v>57</v>
      </c>
      <c r="N23" s="1">
        <f t="shared" si="0"/>
        <v>0.15985467756584915</v>
      </c>
      <c r="O23" s="31"/>
      <c r="P23" s="34" t="str">
        <f t="shared" si="1"/>
        <v/>
      </c>
      <c r="R23" t="s">
        <v>57</v>
      </c>
      <c r="S23" s="1">
        <f>IF(L23&gt;$I$2,"",E23/$D$3-1)</f>
        <v>0.20163487738419628</v>
      </c>
      <c r="T23" s="1"/>
      <c r="U23" s="35">
        <f t="shared" si="2"/>
        <v>1</v>
      </c>
    </row>
    <row r="24" spans="1:21" x14ac:dyDescent="0.25">
      <c r="A24" s="26">
        <v>20060502</v>
      </c>
      <c r="B24" s="26">
        <v>5488</v>
      </c>
      <c r="C24" s="26" t="s">
        <v>317</v>
      </c>
      <c r="D24" s="26">
        <v>13.36</v>
      </c>
      <c r="E24" s="26">
        <v>13.36</v>
      </c>
      <c r="F24" s="26">
        <v>13</v>
      </c>
      <c r="L24" s="26">
        <v>21</v>
      </c>
      <c r="M24" t="s">
        <v>58</v>
      </c>
      <c r="N24" s="1">
        <f t="shared" si="0"/>
        <v>0.18074477747502282</v>
      </c>
      <c r="O24" s="31"/>
      <c r="P24" s="34" t="str">
        <f t="shared" si="1"/>
        <v/>
      </c>
      <c r="R24" t="s">
        <v>58</v>
      </c>
      <c r="S24" s="1">
        <f t="shared" ref="S24:S87" si="5">IF(L24&gt;$I$2,"",E24/$D$3-1)</f>
        <v>0.21344232515894634</v>
      </c>
      <c r="T24" s="1"/>
      <c r="U24" s="35">
        <f t="shared" si="2"/>
        <v>1</v>
      </c>
    </row>
    <row r="25" spans="1:21" x14ac:dyDescent="0.25">
      <c r="A25" s="26">
        <v>20060503</v>
      </c>
      <c r="B25" s="26">
        <v>5488</v>
      </c>
      <c r="C25" s="26" t="s">
        <v>317</v>
      </c>
      <c r="D25" s="26">
        <v>14.09</v>
      </c>
      <c r="E25" s="26">
        <v>14.22</v>
      </c>
      <c r="F25" s="26">
        <v>13.43</v>
      </c>
      <c r="L25" s="26">
        <v>22</v>
      </c>
      <c r="M25" t="s">
        <v>59</v>
      </c>
      <c r="N25" s="1">
        <f t="shared" si="0"/>
        <v>0.2198001816530426</v>
      </c>
      <c r="O25" s="31"/>
      <c r="P25" s="34" t="str">
        <f t="shared" si="1"/>
        <v/>
      </c>
      <c r="R25" t="s">
        <v>59</v>
      </c>
      <c r="S25" s="1">
        <f t="shared" si="5"/>
        <v>0.29155313351498635</v>
      </c>
      <c r="T25" s="1"/>
      <c r="U25" s="35">
        <f t="shared" si="2"/>
        <v>1</v>
      </c>
    </row>
    <row r="26" spans="1:21" x14ac:dyDescent="0.25">
      <c r="A26" s="26">
        <v>20060504</v>
      </c>
      <c r="B26" s="26">
        <v>5488</v>
      </c>
      <c r="C26" s="26" t="s">
        <v>317</v>
      </c>
      <c r="D26" s="26">
        <v>14.15</v>
      </c>
      <c r="E26" s="26">
        <v>14.75</v>
      </c>
      <c r="F26" s="26">
        <v>13.89</v>
      </c>
      <c r="L26" s="26">
        <v>23</v>
      </c>
      <c r="M26" t="s">
        <v>60</v>
      </c>
      <c r="N26" s="1">
        <f t="shared" si="0"/>
        <v>0.26158038147138973</v>
      </c>
      <c r="O26" s="31"/>
      <c r="P26" s="34" t="str">
        <f t="shared" si="1"/>
        <v/>
      </c>
      <c r="R26" t="s">
        <v>60</v>
      </c>
      <c r="S26" s="1">
        <f t="shared" si="5"/>
        <v>0.33969118982742974</v>
      </c>
      <c r="T26" s="1"/>
      <c r="U26" s="35">
        <f t="shared" si="2"/>
        <v>1</v>
      </c>
    </row>
    <row r="27" spans="1:21" x14ac:dyDescent="0.25">
      <c r="A27" s="16">
        <v>20060505</v>
      </c>
      <c r="B27" s="16">
        <v>5488</v>
      </c>
      <c r="C27" s="16" t="s">
        <v>317</v>
      </c>
      <c r="D27" s="16">
        <v>14.42</v>
      </c>
      <c r="E27" s="16">
        <v>14.95</v>
      </c>
      <c r="F27" s="16">
        <v>14.22</v>
      </c>
      <c r="G27" s="9"/>
      <c r="H27" s="9"/>
      <c r="I27" s="9"/>
      <c r="J27" s="9"/>
      <c r="K27" s="9"/>
      <c r="L27" s="16">
        <v>24</v>
      </c>
      <c r="M27" s="9" t="s">
        <v>66</v>
      </c>
      <c r="N27" s="33">
        <f t="shared" si="0"/>
        <v>0.29155313351498635</v>
      </c>
      <c r="O27" s="32"/>
      <c r="P27" s="34" t="str">
        <f t="shared" si="1"/>
        <v/>
      </c>
      <c r="Q27" s="9"/>
      <c r="R27" s="9" t="s">
        <v>61</v>
      </c>
      <c r="S27" s="33">
        <f t="shared" si="5"/>
        <v>0.35785649409627607</v>
      </c>
      <c r="T27" s="33"/>
      <c r="U27" s="35">
        <f t="shared" si="2"/>
        <v>1</v>
      </c>
    </row>
    <row r="28" spans="1:21" x14ac:dyDescent="0.25">
      <c r="A28" s="26">
        <v>20060508</v>
      </c>
      <c r="B28" s="26">
        <v>5488</v>
      </c>
      <c r="C28" s="26" t="s">
        <v>317</v>
      </c>
      <c r="D28" s="26">
        <v>14.29</v>
      </c>
      <c r="E28" s="26">
        <v>14.75</v>
      </c>
      <c r="F28" s="26">
        <v>14.19</v>
      </c>
      <c r="L28" s="26">
        <v>25</v>
      </c>
      <c r="M28" t="s">
        <v>67</v>
      </c>
      <c r="N28" s="1">
        <f t="shared" si="0"/>
        <v>0.28882833787465945</v>
      </c>
      <c r="O28" s="31"/>
      <c r="P28" s="34" t="str">
        <f t="shared" si="1"/>
        <v/>
      </c>
      <c r="R28" t="s">
        <v>67</v>
      </c>
      <c r="S28" s="1">
        <f>IF(L28&gt;$I$2,"",E28/$D$3-1)</f>
        <v>0.33969118982742974</v>
      </c>
      <c r="T28" s="1"/>
      <c r="U28" s="35">
        <f t="shared" si="2"/>
        <v>1</v>
      </c>
    </row>
    <row r="29" spans="1:21" x14ac:dyDescent="0.25">
      <c r="A29" s="26">
        <v>20060509</v>
      </c>
      <c r="B29" s="26">
        <v>5488</v>
      </c>
      <c r="C29" s="26" t="s">
        <v>317</v>
      </c>
      <c r="D29" s="26">
        <v>14.35</v>
      </c>
      <c r="E29" s="26">
        <v>14.49</v>
      </c>
      <c r="F29" s="26">
        <v>14.02</v>
      </c>
      <c r="L29" s="26">
        <v>26</v>
      </c>
      <c r="M29" t="s">
        <v>68</v>
      </c>
      <c r="N29" s="1">
        <f t="shared" si="0"/>
        <v>0.2733878292461398</v>
      </c>
      <c r="O29" s="31"/>
      <c r="P29" s="34" t="str">
        <f t="shared" si="1"/>
        <v/>
      </c>
      <c r="R29" t="s">
        <v>68</v>
      </c>
      <c r="S29" s="1">
        <f t="shared" si="5"/>
        <v>0.31607629427792916</v>
      </c>
      <c r="T29" s="1"/>
      <c r="U29" s="35">
        <f t="shared" si="2"/>
        <v>1</v>
      </c>
    </row>
    <row r="30" spans="1:21" x14ac:dyDescent="0.25">
      <c r="A30" s="26">
        <v>20060510</v>
      </c>
      <c r="B30" s="26">
        <v>5488</v>
      </c>
      <c r="C30" s="26" t="s">
        <v>317</v>
      </c>
      <c r="D30" s="26">
        <v>14.06</v>
      </c>
      <c r="E30" s="26">
        <v>14.42</v>
      </c>
      <c r="F30" s="26">
        <v>13.59</v>
      </c>
      <c r="L30" s="26">
        <v>27</v>
      </c>
      <c r="M30" t="s">
        <v>69</v>
      </c>
      <c r="N30" s="1">
        <f t="shared" si="0"/>
        <v>0.2343324250681198</v>
      </c>
      <c r="O30" s="31"/>
      <c r="P30" s="34" t="str">
        <f t="shared" si="1"/>
        <v/>
      </c>
      <c r="R30" t="s">
        <v>69</v>
      </c>
      <c r="S30" s="1">
        <f t="shared" si="5"/>
        <v>0.3097184377838329</v>
      </c>
      <c r="T30" s="1"/>
      <c r="U30" s="35">
        <f t="shared" si="2"/>
        <v>1</v>
      </c>
    </row>
    <row r="31" spans="1:21" x14ac:dyDescent="0.25">
      <c r="A31" s="26">
        <v>20060511</v>
      </c>
      <c r="B31" s="26">
        <v>5488</v>
      </c>
      <c r="C31" s="26" t="s">
        <v>317</v>
      </c>
      <c r="D31" s="26">
        <v>14.35</v>
      </c>
      <c r="E31" s="26">
        <v>14.49</v>
      </c>
      <c r="F31" s="26">
        <v>13.99</v>
      </c>
      <c r="L31" s="26">
        <v>28</v>
      </c>
      <c r="M31" t="s">
        <v>292</v>
      </c>
      <c r="N31" s="1">
        <f t="shared" si="0"/>
        <v>0.2706630336058129</v>
      </c>
      <c r="O31" s="31"/>
      <c r="P31" s="34" t="str">
        <f t="shared" si="1"/>
        <v/>
      </c>
      <c r="R31" t="s">
        <v>292</v>
      </c>
      <c r="S31" s="1">
        <f t="shared" si="5"/>
        <v>0.31607629427792916</v>
      </c>
      <c r="T31" s="1"/>
      <c r="U31" s="35">
        <f t="shared" si="2"/>
        <v>1</v>
      </c>
    </row>
    <row r="32" spans="1:21" x14ac:dyDescent="0.25">
      <c r="A32" s="26">
        <v>20060512</v>
      </c>
      <c r="B32" s="26">
        <v>5488</v>
      </c>
      <c r="C32" s="26" t="s">
        <v>317</v>
      </c>
      <c r="D32" s="26">
        <v>14.12</v>
      </c>
      <c r="E32" s="26">
        <v>14.52</v>
      </c>
      <c r="F32" s="26">
        <v>14.12</v>
      </c>
      <c r="L32" s="26">
        <v>29</v>
      </c>
      <c r="M32" t="s">
        <v>291</v>
      </c>
      <c r="N32" s="1">
        <f t="shared" si="0"/>
        <v>0.28247048138056319</v>
      </c>
      <c r="O32" s="31"/>
      <c r="P32" s="34" t="str">
        <f t="shared" si="1"/>
        <v/>
      </c>
      <c r="R32" t="s">
        <v>291</v>
      </c>
      <c r="S32" s="1">
        <f t="shared" si="5"/>
        <v>0.31880108991825606</v>
      </c>
      <c r="T32" s="1"/>
      <c r="U32" s="35">
        <f t="shared" si="2"/>
        <v>1</v>
      </c>
    </row>
    <row r="33" spans="1:21" x14ac:dyDescent="0.25">
      <c r="A33" s="26">
        <v>20060515</v>
      </c>
      <c r="B33" s="26">
        <v>5488</v>
      </c>
      <c r="C33" s="26" t="s">
        <v>317</v>
      </c>
      <c r="D33" s="26">
        <v>14.15</v>
      </c>
      <c r="E33" s="26">
        <v>14.49</v>
      </c>
      <c r="F33" s="26">
        <v>14.09</v>
      </c>
      <c r="L33" s="26">
        <v>30</v>
      </c>
      <c r="M33" t="s">
        <v>290</v>
      </c>
      <c r="N33" s="1">
        <f t="shared" si="0"/>
        <v>0.27974568574023606</v>
      </c>
      <c r="O33" s="31"/>
      <c r="P33" s="34" t="str">
        <f t="shared" si="1"/>
        <v/>
      </c>
      <c r="R33" t="s">
        <v>290</v>
      </c>
      <c r="S33" s="1">
        <f t="shared" si="5"/>
        <v>0.31607629427792916</v>
      </c>
      <c r="T33" s="1"/>
      <c r="U33" s="35">
        <f t="shared" si="2"/>
        <v>1</v>
      </c>
    </row>
    <row r="34" spans="1:21" x14ac:dyDescent="0.25">
      <c r="A34" s="26">
        <v>20060516</v>
      </c>
      <c r="B34" s="26">
        <v>5488</v>
      </c>
      <c r="C34" s="26" t="s">
        <v>317</v>
      </c>
      <c r="D34" s="26">
        <v>15.11</v>
      </c>
      <c r="E34" s="26">
        <v>15.11</v>
      </c>
      <c r="F34" s="26">
        <v>14.15</v>
      </c>
      <c r="L34" s="26">
        <v>31</v>
      </c>
      <c r="M34" t="s">
        <v>289</v>
      </c>
      <c r="N34" s="1">
        <f t="shared" si="0"/>
        <v>0.28519527702089009</v>
      </c>
      <c r="O34" s="31"/>
      <c r="P34" s="34" t="str">
        <f t="shared" si="1"/>
        <v/>
      </c>
      <c r="R34" t="s">
        <v>289</v>
      </c>
      <c r="S34" s="1">
        <f t="shared" si="5"/>
        <v>0.37238873751135326</v>
      </c>
      <c r="T34" s="1"/>
      <c r="U34" s="35">
        <f t="shared" si="2"/>
        <v>1</v>
      </c>
    </row>
    <row r="35" spans="1:21" x14ac:dyDescent="0.25">
      <c r="A35" s="26">
        <v>20060517</v>
      </c>
      <c r="B35" s="26">
        <v>5488</v>
      </c>
      <c r="C35" s="26" t="s">
        <v>317</v>
      </c>
      <c r="D35" s="26">
        <v>15.31</v>
      </c>
      <c r="E35" s="26">
        <v>15.84</v>
      </c>
      <c r="F35" s="26">
        <v>15.18</v>
      </c>
      <c r="L35" s="26">
        <v>32</v>
      </c>
      <c r="M35" t="s">
        <v>288</v>
      </c>
      <c r="N35" s="1">
        <f t="shared" si="0"/>
        <v>0.37874659400544952</v>
      </c>
      <c r="O35" s="31"/>
      <c r="P35" s="34" t="str">
        <f t="shared" si="1"/>
        <v/>
      </c>
      <c r="R35" t="s">
        <v>288</v>
      </c>
      <c r="S35" s="1">
        <f t="shared" si="5"/>
        <v>0.43869209809264298</v>
      </c>
      <c r="T35" s="1"/>
      <c r="U35" s="35">
        <f t="shared" si="2"/>
        <v>1</v>
      </c>
    </row>
    <row r="36" spans="1:21" x14ac:dyDescent="0.25">
      <c r="A36" s="26">
        <v>20060518</v>
      </c>
      <c r="B36" s="26">
        <v>5488</v>
      </c>
      <c r="C36" s="26" t="s">
        <v>317</v>
      </c>
      <c r="D36" s="26">
        <v>16.37</v>
      </c>
      <c r="E36" s="26">
        <v>16.37</v>
      </c>
      <c r="F36" s="26">
        <v>15.21</v>
      </c>
      <c r="L36" s="26">
        <v>33</v>
      </c>
      <c r="M36" t="s">
        <v>287</v>
      </c>
      <c r="N36" s="1">
        <f t="shared" si="0"/>
        <v>0.38147138964577665</v>
      </c>
      <c r="O36" s="31"/>
      <c r="P36" s="34" t="str">
        <f t="shared" si="1"/>
        <v/>
      </c>
      <c r="R36" t="s">
        <v>287</v>
      </c>
      <c r="S36" s="1">
        <f t="shared" si="5"/>
        <v>0.48683015440508637</v>
      </c>
      <c r="T36" s="1"/>
      <c r="U36" s="35">
        <f t="shared" si="2"/>
        <v>1</v>
      </c>
    </row>
    <row r="37" spans="1:21" x14ac:dyDescent="0.25">
      <c r="A37" s="26">
        <v>20060519</v>
      </c>
      <c r="B37" s="26">
        <v>5488</v>
      </c>
      <c r="C37" s="26" t="s">
        <v>317</v>
      </c>
      <c r="D37" s="26">
        <v>17.489999999999998</v>
      </c>
      <c r="E37" s="26">
        <v>17.489999999999998</v>
      </c>
      <c r="F37" s="26">
        <v>16.73</v>
      </c>
      <c r="L37" s="26">
        <v>34</v>
      </c>
      <c r="M37" t="s">
        <v>286</v>
      </c>
      <c r="N37" s="1">
        <f t="shared" si="0"/>
        <v>0.51952770208901011</v>
      </c>
      <c r="O37" s="31"/>
      <c r="P37" s="34" t="str">
        <f t="shared" si="1"/>
        <v/>
      </c>
      <c r="R37" t="s">
        <v>286</v>
      </c>
      <c r="S37" s="1">
        <f t="shared" si="5"/>
        <v>0.58855585831062651</v>
      </c>
      <c r="T37" s="1"/>
      <c r="U37" s="35">
        <f t="shared" si="2"/>
        <v>1</v>
      </c>
    </row>
    <row r="38" spans="1:21" x14ac:dyDescent="0.25">
      <c r="A38" s="26">
        <v>20060522</v>
      </c>
      <c r="B38" s="26">
        <v>5488</v>
      </c>
      <c r="C38" s="26" t="s">
        <v>317</v>
      </c>
      <c r="D38" s="26">
        <v>17.489999999999998</v>
      </c>
      <c r="E38" s="26">
        <v>18.72</v>
      </c>
      <c r="F38" s="26">
        <v>17.489999999999998</v>
      </c>
      <c r="L38" s="26">
        <v>35</v>
      </c>
      <c r="M38" t="s">
        <v>285</v>
      </c>
      <c r="N38" s="1">
        <f t="shared" si="0"/>
        <v>0.58855585831062651</v>
      </c>
      <c r="O38" s="31"/>
      <c r="P38" s="34" t="str">
        <f t="shared" si="1"/>
        <v/>
      </c>
      <c r="R38" t="s">
        <v>285</v>
      </c>
      <c r="S38" s="1">
        <f t="shared" si="5"/>
        <v>0.70027247956403271</v>
      </c>
      <c r="T38" s="1"/>
      <c r="U38" s="35">
        <f t="shared" si="2"/>
        <v>1</v>
      </c>
    </row>
    <row r="39" spans="1:21" x14ac:dyDescent="0.25">
      <c r="A39" s="26">
        <v>20060523</v>
      </c>
      <c r="B39" s="26">
        <v>5488</v>
      </c>
      <c r="C39" s="26" t="s">
        <v>317</v>
      </c>
      <c r="D39" s="26">
        <v>17.989999999999998</v>
      </c>
      <c r="E39" s="26">
        <v>18.52</v>
      </c>
      <c r="F39" s="26">
        <v>17.2</v>
      </c>
      <c r="L39" s="26">
        <v>36</v>
      </c>
      <c r="M39" t="s">
        <v>284</v>
      </c>
      <c r="N39" s="1">
        <f t="shared" si="0"/>
        <v>0.56221616712079925</v>
      </c>
      <c r="O39" s="31"/>
      <c r="P39" s="34" t="str">
        <f t="shared" si="1"/>
        <v/>
      </c>
      <c r="R39" t="s">
        <v>284</v>
      </c>
      <c r="S39" s="1">
        <f t="shared" si="5"/>
        <v>0.68210717529518616</v>
      </c>
      <c r="T39" s="1"/>
      <c r="U39" s="35">
        <f t="shared" si="2"/>
        <v>1</v>
      </c>
    </row>
    <row r="40" spans="1:21" x14ac:dyDescent="0.25">
      <c r="A40" s="26"/>
      <c r="B40" s="26"/>
      <c r="C40" s="26"/>
      <c r="D40" s="26"/>
      <c r="E40" s="26"/>
      <c r="F40" s="26"/>
      <c r="L40" s="26">
        <v>37</v>
      </c>
      <c r="M40" t="s">
        <v>283</v>
      </c>
      <c r="N40" s="1" t="str">
        <f t="shared" si="0"/>
        <v/>
      </c>
      <c r="O40" s="31"/>
      <c r="P40" s="34" t="str">
        <f t="shared" si="1"/>
        <v/>
      </c>
      <c r="R40" t="s">
        <v>283</v>
      </c>
      <c r="S40" s="1" t="str">
        <f t="shared" si="5"/>
        <v/>
      </c>
      <c r="T40" s="1"/>
      <c r="U40" s="35" t="str">
        <f t="shared" si="2"/>
        <v/>
      </c>
    </row>
    <row r="41" spans="1:21" x14ac:dyDescent="0.25">
      <c r="A41" s="26"/>
      <c r="B41" s="26"/>
      <c r="C41" s="26"/>
      <c r="D41" s="26"/>
      <c r="E41" s="26"/>
      <c r="F41" s="26"/>
      <c r="L41" s="26">
        <v>38</v>
      </c>
      <c r="M41" t="s">
        <v>282</v>
      </c>
      <c r="N41" s="1" t="str">
        <f t="shared" si="0"/>
        <v/>
      </c>
      <c r="O41" s="31"/>
      <c r="P41" s="34" t="str">
        <f t="shared" si="1"/>
        <v/>
      </c>
      <c r="R41" t="s">
        <v>282</v>
      </c>
      <c r="S41" s="1" t="str">
        <f t="shared" si="5"/>
        <v/>
      </c>
      <c r="T41" s="1"/>
      <c r="U41" s="35" t="str">
        <f t="shared" si="2"/>
        <v/>
      </c>
    </row>
    <row r="42" spans="1:21" x14ac:dyDescent="0.25">
      <c r="A42" s="26"/>
      <c r="B42" s="26"/>
      <c r="C42" s="26"/>
      <c r="D42" s="26"/>
      <c r="E42" s="26"/>
      <c r="F42" s="26"/>
      <c r="L42" s="26">
        <v>39</v>
      </c>
      <c r="M42" t="s">
        <v>281</v>
      </c>
      <c r="N42" s="1" t="str">
        <f t="shared" si="0"/>
        <v/>
      </c>
      <c r="O42" s="31"/>
      <c r="P42" s="34" t="str">
        <f t="shared" si="1"/>
        <v/>
      </c>
      <c r="R42" t="s">
        <v>281</v>
      </c>
      <c r="S42" s="1" t="str">
        <f t="shared" si="5"/>
        <v/>
      </c>
      <c r="T42" s="1"/>
      <c r="U42" s="35" t="str">
        <f t="shared" si="2"/>
        <v/>
      </c>
    </row>
    <row r="43" spans="1:21" x14ac:dyDescent="0.25">
      <c r="A43" s="26"/>
      <c r="B43" s="26"/>
      <c r="C43" s="26"/>
      <c r="D43" s="26"/>
      <c r="E43" s="26"/>
      <c r="F43" s="26"/>
      <c r="L43" s="26">
        <v>40</v>
      </c>
      <c r="M43" t="s">
        <v>280</v>
      </c>
      <c r="N43" s="1" t="str">
        <f t="shared" si="0"/>
        <v/>
      </c>
      <c r="O43" s="31"/>
      <c r="P43" s="34" t="str">
        <f t="shared" si="1"/>
        <v/>
      </c>
      <c r="R43" t="s">
        <v>280</v>
      </c>
      <c r="S43" s="1" t="str">
        <f t="shared" si="5"/>
        <v/>
      </c>
      <c r="T43" s="1"/>
      <c r="U43" s="35" t="str">
        <f t="shared" si="2"/>
        <v/>
      </c>
    </row>
    <row r="44" spans="1:21" x14ac:dyDescent="0.25">
      <c r="A44" s="26"/>
      <c r="B44" s="26"/>
      <c r="C44" s="26"/>
      <c r="D44" s="26"/>
      <c r="E44" s="26"/>
      <c r="F44" s="26"/>
      <c r="L44" s="26">
        <v>41</v>
      </c>
      <c r="M44" t="s">
        <v>279</v>
      </c>
      <c r="N44" s="1" t="str">
        <f t="shared" si="0"/>
        <v/>
      </c>
      <c r="O44" s="31"/>
      <c r="P44" s="34" t="str">
        <f t="shared" si="1"/>
        <v/>
      </c>
      <c r="R44" t="s">
        <v>279</v>
      </c>
      <c r="S44" s="1" t="str">
        <f t="shared" si="5"/>
        <v/>
      </c>
      <c r="T44" s="1"/>
      <c r="U44" s="35" t="str">
        <f t="shared" si="2"/>
        <v/>
      </c>
    </row>
    <row r="45" spans="1:21" x14ac:dyDescent="0.25">
      <c r="A45" s="26"/>
      <c r="B45" s="26"/>
      <c r="C45" s="26"/>
      <c r="D45" s="26"/>
      <c r="E45" s="26"/>
      <c r="F45" s="26"/>
      <c r="L45" s="26">
        <v>42</v>
      </c>
      <c r="M45" t="s">
        <v>278</v>
      </c>
      <c r="N45" s="1" t="str">
        <f t="shared" si="0"/>
        <v/>
      </c>
      <c r="O45" s="31"/>
      <c r="P45" s="34" t="str">
        <f t="shared" si="1"/>
        <v/>
      </c>
      <c r="R45" t="s">
        <v>278</v>
      </c>
      <c r="S45" s="1" t="str">
        <f t="shared" si="5"/>
        <v/>
      </c>
      <c r="T45" s="1"/>
      <c r="U45" s="35" t="str">
        <f t="shared" si="2"/>
        <v/>
      </c>
    </row>
    <row r="46" spans="1:21" x14ac:dyDescent="0.25">
      <c r="A46" s="26"/>
      <c r="B46" s="26"/>
      <c r="C46" s="26"/>
      <c r="D46" s="26"/>
      <c r="E46" s="26"/>
      <c r="F46" s="26"/>
      <c r="L46" s="26">
        <v>43</v>
      </c>
      <c r="M46" t="s">
        <v>277</v>
      </c>
      <c r="N46" s="1" t="str">
        <f t="shared" si="0"/>
        <v/>
      </c>
      <c r="O46" s="31"/>
      <c r="P46" s="34" t="str">
        <f t="shared" si="1"/>
        <v/>
      </c>
      <c r="R46" t="s">
        <v>277</v>
      </c>
      <c r="S46" s="1" t="str">
        <f t="shared" si="5"/>
        <v/>
      </c>
      <c r="T46" s="1"/>
      <c r="U46" s="35" t="str">
        <f t="shared" si="2"/>
        <v/>
      </c>
    </row>
    <row r="47" spans="1:21" x14ac:dyDescent="0.25">
      <c r="A47" s="26"/>
      <c r="B47" s="26"/>
      <c r="C47" s="26"/>
      <c r="D47" s="26"/>
      <c r="E47" s="26"/>
      <c r="F47" s="26"/>
      <c r="L47" s="26">
        <v>44</v>
      </c>
      <c r="M47" t="s">
        <v>276</v>
      </c>
      <c r="N47" s="1" t="str">
        <f t="shared" si="0"/>
        <v/>
      </c>
      <c r="O47" s="31"/>
      <c r="P47" s="34" t="str">
        <f t="shared" si="1"/>
        <v/>
      </c>
      <c r="R47" t="s">
        <v>276</v>
      </c>
      <c r="S47" s="1" t="str">
        <f t="shared" si="5"/>
        <v/>
      </c>
      <c r="T47" s="1"/>
      <c r="U47" s="35" t="str">
        <f t="shared" si="2"/>
        <v/>
      </c>
    </row>
    <row r="48" spans="1:21" x14ac:dyDescent="0.25">
      <c r="A48" s="26"/>
      <c r="B48" s="26"/>
      <c r="C48" s="26"/>
      <c r="D48" s="26"/>
      <c r="E48" s="26"/>
      <c r="F48" s="26"/>
      <c r="L48" s="26">
        <v>45</v>
      </c>
      <c r="M48" t="s">
        <v>275</v>
      </c>
      <c r="N48" s="1" t="str">
        <f t="shared" si="0"/>
        <v/>
      </c>
      <c r="O48" s="31"/>
      <c r="P48" s="34" t="str">
        <f t="shared" si="1"/>
        <v/>
      </c>
      <c r="R48" t="s">
        <v>275</v>
      </c>
      <c r="S48" s="1" t="str">
        <f t="shared" si="5"/>
        <v/>
      </c>
      <c r="T48" s="1"/>
      <c r="U48" s="35" t="str">
        <f t="shared" si="2"/>
        <v/>
      </c>
    </row>
    <row r="49" spans="1:21" x14ac:dyDescent="0.25">
      <c r="A49" s="26"/>
      <c r="B49" s="26"/>
      <c r="C49" s="26"/>
      <c r="D49" s="26"/>
      <c r="E49" s="26"/>
      <c r="F49" s="26"/>
      <c r="L49" s="26">
        <v>46</v>
      </c>
      <c r="M49" t="s">
        <v>274</v>
      </c>
      <c r="N49" s="1" t="str">
        <f t="shared" si="0"/>
        <v/>
      </c>
      <c r="O49" s="31"/>
      <c r="P49" s="34" t="str">
        <f t="shared" si="1"/>
        <v/>
      </c>
      <c r="R49" t="s">
        <v>274</v>
      </c>
      <c r="S49" s="1" t="str">
        <f t="shared" si="5"/>
        <v/>
      </c>
      <c r="T49" s="1"/>
      <c r="U49" s="35" t="str">
        <f t="shared" si="2"/>
        <v/>
      </c>
    </row>
    <row r="50" spans="1:21" x14ac:dyDescent="0.25">
      <c r="A50" s="26"/>
      <c r="B50" s="26"/>
      <c r="C50" s="26"/>
      <c r="D50" s="26"/>
      <c r="E50" s="26"/>
      <c r="F50" s="26"/>
      <c r="L50" s="26">
        <v>47</v>
      </c>
      <c r="M50" t="s">
        <v>273</v>
      </c>
      <c r="N50" s="1" t="str">
        <f t="shared" si="0"/>
        <v/>
      </c>
      <c r="O50" s="31"/>
      <c r="P50" s="34" t="str">
        <f t="shared" si="1"/>
        <v/>
      </c>
      <c r="R50" t="s">
        <v>273</v>
      </c>
      <c r="S50" s="1" t="str">
        <f t="shared" si="5"/>
        <v/>
      </c>
      <c r="T50" s="1"/>
      <c r="U50" s="35" t="str">
        <f t="shared" si="2"/>
        <v/>
      </c>
    </row>
    <row r="51" spans="1:21" x14ac:dyDescent="0.25">
      <c r="A51" s="26"/>
      <c r="B51" s="26"/>
      <c r="C51" s="26"/>
      <c r="D51" s="26"/>
      <c r="E51" s="26"/>
      <c r="F51" s="26"/>
      <c r="L51" s="26">
        <v>48</v>
      </c>
      <c r="M51" t="s">
        <v>272</v>
      </c>
      <c r="N51" s="1" t="str">
        <f t="shared" si="0"/>
        <v/>
      </c>
      <c r="O51" s="31"/>
      <c r="P51" s="34" t="str">
        <f t="shared" si="1"/>
        <v/>
      </c>
      <c r="R51" t="s">
        <v>272</v>
      </c>
      <c r="S51" s="1" t="str">
        <f t="shared" si="5"/>
        <v/>
      </c>
      <c r="T51" s="1"/>
      <c r="U51" s="35" t="str">
        <f t="shared" si="2"/>
        <v/>
      </c>
    </row>
    <row r="52" spans="1:21" x14ac:dyDescent="0.25">
      <c r="A52" s="26"/>
      <c r="B52" s="26"/>
      <c r="C52" s="26"/>
      <c r="D52" s="26"/>
      <c r="E52" s="26"/>
      <c r="F52" s="26"/>
      <c r="L52" s="26">
        <v>49</v>
      </c>
      <c r="M52" t="s">
        <v>271</v>
      </c>
      <c r="N52" s="1" t="str">
        <f t="shared" si="0"/>
        <v/>
      </c>
      <c r="O52" s="31"/>
      <c r="P52" s="34" t="str">
        <f t="shared" si="1"/>
        <v/>
      </c>
      <c r="R52" t="s">
        <v>271</v>
      </c>
      <c r="S52" s="1" t="str">
        <f t="shared" si="5"/>
        <v/>
      </c>
      <c r="T52" s="1"/>
      <c r="U52" s="35" t="str">
        <f t="shared" si="2"/>
        <v/>
      </c>
    </row>
    <row r="53" spans="1:21" x14ac:dyDescent="0.25">
      <c r="A53" s="26"/>
      <c r="B53" s="26"/>
      <c r="C53" s="26"/>
      <c r="D53" s="26"/>
      <c r="E53" s="26"/>
      <c r="F53" s="26"/>
      <c r="L53" s="26">
        <v>50</v>
      </c>
      <c r="M53" t="s">
        <v>270</v>
      </c>
      <c r="N53" s="1" t="str">
        <f t="shared" si="0"/>
        <v/>
      </c>
      <c r="O53" s="31"/>
      <c r="P53" s="34" t="str">
        <f t="shared" si="1"/>
        <v/>
      </c>
      <c r="R53" t="s">
        <v>270</v>
      </c>
      <c r="S53" s="1" t="str">
        <f t="shared" si="5"/>
        <v/>
      </c>
      <c r="T53" s="1"/>
      <c r="U53" s="35" t="str">
        <f t="shared" si="2"/>
        <v/>
      </c>
    </row>
    <row r="54" spans="1:21" x14ac:dyDescent="0.25">
      <c r="A54" s="26"/>
      <c r="B54" s="26"/>
      <c r="C54" s="26"/>
      <c r="D54" s="26"/>
      <c r="E54" s="26"/>
      <c r="F54" s="26"/>
      <c r="L54" s="26">
        <v>51</v>
      </c>
      <c r="M54" t="s">
        <v>269</v>
      </c>
      <c r="N54" s="1" t="str">
        <f t="shared" si="0"/>
        <v/>
      </c>
      <c r="O54" s="31"/>
      <c r="P54" s="34" t="str">
        <f t="shared" si="1"/>
        <v/>
      </c>
      <c r="R54" t="s">
        <v>269</v>
      </c>
      <c r="S54" s="1" t="str">
        <f t="shared" si="5"/>
        <v/>
      </c>
      <c r="T54" s="1"/>
      <c r="U54" s="35" t="str">
        <f t="shared" si="2"/>
        <v/>
      </c>
    </row>
    <row r="55" spans="1:21" x14ac:dyDescent="0.25">
      <c r="A55" s="26"/>
      <c r="B55" s="26"/>
      <c r="C55" s="26"/>
      <c r="D55" s="26"/>
      <c r="E55" s="26"/>
      <c r="F55" s="26"/>
      <c r="L55" s="26">
        <v>52</v>
      </c>
      <c r="M55" t="s">
        <v>268</v>
      </c>
      <c r="N55" s="1" t="str">
        <f t="shared" si="0"/>
        <v/>
      </c>
      <c r="O55" s="31"/>
      <c r="P55" s="34" t="str">
        <f t="shared" si="1"/>
        <v/>
      </c>
      <c r="R55" t="s">
        <v>268</v>
      </c>
      <c r="S55" s="1" t="str">
        <f t="shared" si="5"/>
        <v/>
      </c>
      <c r="T55" s="1"/>
      <c r="U55" s="35" t="str">
        <f t="shared" si="2"/>
        <v/>
      </c>
    </row>
    <row r="56" spans="1:21" x14ac:dyDescent="0.25">
      <c r="A56" s="26"/>
      <c r="B56" s="26"/>
      <c r="C56" s="26"/>
      <c r="D56" s="26"/>
      <c r="E56" s="26"/>
      <c r="F56" s="26"/>
      <c r="L56" s="26">
        <v>53</v>
      </c>
      <c r="M56" t="s">
        <v>267</v>
      </c>
      <c r="N56" s="1" t="str">
        <f t="shared" si="0"/>
        <v/>
      </c>
      <c r="O56" s="31"/>
      <c r="P56" s="34" t="str">
        <f t="shared" si="1"/>
        <v/>
      </c>
      <c r="R56" t="s">
        <v>267</v>
      </c>
      <c r="S56" s="1" t="str">
        <f t="shared" si="5"/>
        <v/>
      </c>
      <c r="T56" s="1"/>
      <c r="U56" s="35" t="str">
        <f t="shared" si="2"/>
        <v/>
      </c>
    </row>
    <row r="57" spans="1:21" x14ac:dyDescent="0.25">
      <c r="A57" s="26"/>
      <c r="B57" s="26"/>
      <c r="C57" s="26"/>
      <c r="D57" s="26"/>
      <c r="E57" s="26"/>
      <c r="F57" s="26"/>
      <c r="L57" s="26">
        <v>54</v>
      </c>
      <c r="M57" t="s">
        <v>266</v>
      </c>
      <c r="N57" s="1" t="str">
        <f t="shared" si="0"/>
        <v/>
      </c>
      <c r="O57" s="31"/>
      <c r="P57" s="34" t="str">
        <f t="shared" si="1"/>
        <v/>
      </c>
      <c r="R57" t="s">
        <v>266</v>
      </c>
      <c r="S57" s="1" t="str">
        <f t="shared" si="5"/>
        <v/>
      </c>
      <c r="T57" s="1"/>
      <c r="U57" s="35" t="str">
        <f t="shared" si="2"/>
        <v/>
      </c>
    </row>
    <row r="58" spans="1:21" x14ac:dyDescent="0.25">
      <c r="A58" s="26"/>
      <c r="B58" s="26"/>
      <c r="C58" s="26"/>
      <c r="D58" s="26"/>
      <c r="E58" s="26"/>
      <c r="F58" s="26"/>
      <c r="L58" s="26">
        <v>55</v>
      </c>
      <c r="M58" t="s">
        <v>265</v>
      </c>
      <c r="N58" s="1" t="str">
        <f t="shared" si="0"/>
        <v/>
      </c>
      <c r="O58" s="31"/>
      <c r="P58" s="34" t="str">
        <f t="shared" si="1"/>
        <v/>
      </c>
      <c r="R58" t="s">
        <v>265</v>
      </c>
      <c r="S58" s="1" t="str">
        <f t="shared" si="5"/>
        <v/>
      </c>
      <c r="T58" s="1"/>
      <c r="U58" s="35" t="str">
        <f t="shared" si="2"/>
        <v/>
      </c>
    </row>
    <row r="59" spans="1:21" x14ac:dyDescent="0.25">
      <c r="A59" s="26"/>
      <c r="B59" s="26"/>
      <c r="C59" s="26"/>
      <c r="D59" s="26"/>
      <c r="E59" s="26"/>
      <c r="F59" s="26"/>
      <c r="L59" s="26">
        <v>56</v>
      </c>
      <c r="M59" t="s">
        <v>264</v>
      </c>
      <c r="N59" s="1" t="str">
        <f t="shared" si="0"/>
        <v/>
      </c>
      <c r="O59" s="31"/>
      <c r="P59" s="34" t="str">
        <f t="shared" si="1"/>
        <v/>
      </c>
      <c r="R59" t="s">
        <v>264</v>
      </c>
      <c r="S59" s="1" t="str">
        <f t="shared" si="5"/>
        <v/>
      </c>
      <c r="T59" s="1"/>
      <c r="U59" s="35" t="str">
        <f t="shared" si="2"/>
        <v/>
      </c>
    </row>
    <row r="60" spans="1:21" x14ac:dyDescent="0.25">
      <c r="A60" s="26"/>
      <c r="B60" s="26"/>
      <c r="C60" s="26"/>
      <c r="D60" s="26"/>
      <c r="E60" s="26"/>
      <c r="F60" s="26"/>
      <c r="L60" s="26">
        <v>57</v>
      </c>
      <c r="M60" t="s">
        <v>263</v>
      </c>
      <c r="N60" s="1" t="str">
        <f t="shared" si="0"/>
        <v/>
      </c>
      <c r="O60" s="31"/>
      <c r="P60" s="34" t="str">
        <f t="shared" si="1"/>
        <v/>
      </c>
      <c r="R60" t="s">
        <v>263</v>
      </c>
      <c r="S60" s="1" t="str">
        <f t="shared" si="5"/>
        <v/>
      </c>
      <c r="T60" s="1"/>
      <c r="U60" s="35" t="str">
        <f t="shared" si="2"/>
        <v/>
      </c>
    </row>
    <row r="61" spans="1:21" x14ac:dyDescent="0.25">
      <c r="A61" s="26"/>
      <c r="B61" s="26"/>
      <c r="C61" s="26"/>
      <c r="D61" s="26"/>
      <c r="E61" s="26"/>
      <c r="F61" s="26"/>
      <c r="L61" s="26">
        <v>58</v>
      </c>
      <c r="M61" t="s">
        <v>262</v>
      </c>
      <c r="N61" s="1" t="str">
        <f t="shared" si="0"/>
        <v/>
      </c>
      <c r="O61" s="31"/>
      <c r="P61" s="34" t="str">
        <f t="shared" si="1"/>
        <v/>
      </c>
      <c r="R61" t="s">
        <v>262</v>
      </c>
      <c r="S61" s="1" t="str">
        <f t="shared" si="5"/>
        <v/>
      </c>
      <c r="T61" s="1"/>
      <c r="U61" s="35" t="str">
        <f t="shared" si="2"/>
        <v/>
      </c>
    </row>
    <row r="62" spans="1:21" x14ac:dyDescent="0.25">
      <c r="A62" s="26"/>
      <c r="B62" s="26"/>
      <c r="C62" s="26"/>
      <c r="D62" s="26"/>
      <c r="E62" s="26"/>
      <c r="F62" s="26"/>
      <c r="L62" s="26">
        <v>59</v>
      </c>
      <c r="M62" t="s">
        <v>261</v>
      </c>
      <c r="N62" s="1" t="str">
        <f t="shared" si="0"/>
        <v/>
      </c>
      <c r="O62" s="31"/>
      <c r="P62" s="34" t="str">
        <f t="shared" si="1"/>
        <v/>
      </c>
      <c r="R62" t="s">
        <v>261</v>
      </c>
      <c r="S62" s="1" t="str">
        <f t="shared" si="5"/>
        <v/>
      </c>
      <c r="T62" s="1"/>
      <c r="U62" s="35" t="str">
        <f t="shared" si="2"/>
        <v/>
      </c>
    </row>
    <row r="63" spans="1:21" x14ac:dyDescent="0.25">
      <c r="A63" s="26"/>
      <c r="B63" s="26"/>
      <c r="C63" s="26"/>
      <c r="D63" s="26"/>
      <c r="E63" s="26"/>
      <c r="F63" s="26"/>
      <c r="L63" s="26">
        <v>60</v>
      </c>
      <c r="M63" t="s">
        <v>260</v>
      </c>
      <c r="N63" s="1" t="str">
        <f t="shared" si="0"/>
        <v/>
      </c>
      <c r="O63" s="31"/>
      <c r="P63" s="34" t="str">
        <f t="shared" si="1"/>
        <v/>
      </c>
      <c r="R63" t="s">
        <v>260</v>
      </c>
      <c r="S63" s="1" t="str">
        <f t="shared" si="5"/>
        <v/>
      </c>
      <c r="T63" s="1"/>
      <c r="U63" s="35" t="str">
        <f t="shared" si="2"/>
        <v/>
      </c>
    </row>
    <row r="64" spans="1:21" x14ac:dyDescent="0.25">
      <c r="A64" s="26"/>
      <c r="B64" s="26"/>
      <c r="C64" s="26"/>
      <c r="D64" s="26"/>
      <c r="E64" s="26"/>
      <c r="F64" s="26"/>
      <c r="L64" s="26">
        <v>61</v>
      </c>
      <c r="M64" t="s">
        <v>259</v>
      </c>
      <c r="N64" s="1" t="str">
        <f t="shared" si="0"/>
        <v/>
      </c>
      <c r="O64" s="31"/>
      <c r="P64" s="34" t="str">
        <f t="shared" si="1"/>
        <v/>
      </c>
      <c r="R64" t="s">
        <v>259</v>
      </c>
      <c r="S64" s="1" t="str">
        <f t="shared" si="5"/>
        <v/>
      </c>
      <c r="T64" s="1"/>
      <c r="U64" s="35" t="str">
        <f t="shared" si="2"/>
        <v/>
      </c>
    </row>
    <row r="65" spans="1:21" x14ac:dyDescent="0.25">
      <c r="A65" s="26"/>
      <c r="B65" s="26"/>
      <c r="C65" s="26"/>
      <c r="D65" s="26"/>
      <c r="E65" s="26"/>
      <c r="F65" s="26"/>
      <c r="L65" s="26">
        <v>62</v>
      </c>
      <c r="M65" t="s">
        <v>258</v>
      </c>
      <c r="N65" s="1" t="str">
        <f t="shared" si="0"/>
        <v/>
      </c>
      <c r="O65" s="31"/>
      <c r="P65" s="34" t="str">
        <f t="shared" si="1"/>
        <v/>
      </c>
      <c r="R65" t="s">
        <v>258</v>
      </c>
      <c r="S65" s="1" t="str">
        <f t="shared" si="5"/>
        <v/>
      </c>
      <c r="T65" s="1"/>
      <c r="U65" s="35" t="str">
        <f t="shared" si="2"/>
        <v/>
      </c>
    </row>
    <row r="66" spans="1:21" x14ac:dyDescent="0.25">
      <c r="A66" s="26"/>
      <c r="B66" s="26"/>
      <c r="C66" s="26"/>
      <c r="D66" s="26"/>
      <c r="E66" s="26"/>
      <c r="F66" s="26"/>
      <c r="L66" s="26">
        <v>63</v>
      </c>
      <c r="M66" t="s">
        <v>257</v>
      </c>
      <c r="N66" s="1" t="str">
        <f t="shared" si="0"/>
        <v/>
      </c>
      <c r="O66" s="31"/>
      <c r="P66" s="34" t="str">
        <f t="shared" si="1"/>
        <v/>
      </c>
      <c r="R66" t="s">
        <v>257</v>
      </c>
      <c r="S66" s="1" t="str">
        <f t="shared" si="5"/>
        <v/>
      </c>
      <c r="T66" s="1"/>
      <c r="U66" s="35" t="str">
        <f t="shared" si="2"/>
        <v/>
      </c>
    </row>
    <row r="67" spans="1:21" x14ac:dyDescent="0.25">
      <c r="A67" s="26"/>
      <c r="B67" s="26"/>
      <c r="C67" s="26"/>
      <c r="D67" s="26"/>
      <c r="E67" s="26"/>
      <c r="F67" s="26"/>
      <c r="L67" s="26">
        <v>64</v>
      </c>
      <c r="M67" t="s">
        <v>256</v>
      </c>
      <c r="N67" s="1" t="str">
        <f t="shared" si="0"/>
        <v/>
      </c>
      <c r="O67" s="31"/>
      <c r="P67" s="34" t="str">
        <f t="shared" si="1"/>
        <v/>
      </c>
      <c r="R67" t="s">
        <v>256</v>
      </c>
      <c r="S67" s="1" t="str">
        <f t="shared" si="5"/>
        <v/>
      </c>
      <c r="T67" s="1"/>
      <c r="U67" s="35" t="str">
        <f t="shared" si="2"/>
        <v/>
      </c>
    </row>
    <row r="68" spans="1:21" x14ac:dyDescent="0.25">
      <c r="A68" s="26"/>
      <c r="B68" s="26"/>
      <c r="C68" s="26"/>
      <c r="D68" s="26"/>
      <c r="E68" s="26"/>
      <c r="F68" s="26"/>
      <c r="L68" s="26">
        <v>65</v>
      </c>
      <c r="M68" t="s">
        <v>255</v>
      </c>
      <c r="N68" s="1" t="str">
        <f t="shared" si="0"/>
        <v/>
      </c>
      <c r="O68" s="31"/>
      <c r="P68" s="34" t="str">
        <f t="shared" si="1"/>
        <v/>
      </c>
      <c r="R68" t="s">
        <v>255</v>
      </c>
      <c r="S68" s="1" t="str">
        <f t="shared" si="5"/>
        <v/>
      </c>
      <c r="T68" s="1"/>
      <c r="U68" s="35" t="str">
        <f t="shared" si="2"/>
        <v/>
      </c>
    </row>
    <row r="69" spans="1:21" x14ac:dyDescent="0.25">
      <c r="A69" s="26"/>
      <c r="B69" s="26"/>
      <c r="C69" s="26"/>
      <c r="D69" s="26"/>
      <c r="E69" s="26"/>
      <c r="F69" s="26"/>
      <c r="L69" s="26">
        <v>66</v>
      </c>
      <c r="M69" t="s">
        <v>254</v>
      </c>
      <c r="N69" s="1" t="str">
        <f t="shared" ref="N69:N132" si="6">IF(L69&gt;$I$2,"",F69/$D$3-1)</f>
        <v/>
      </c>
      <c r="O69" s="31"/>
      <c r="P69" s="34" t="str">
        <f t="shared" ref="P69:P132" si="7">IF(AND(L69&lt;=$I$2,N69&lt;= -0.1),1,"")</f>
        <v/>
      </c>
      <c r="R69" t="s">
        <v>254</v>
      </c>
      <c r="S69" s="1" t="str">
        <f t="shared" si="5"/>
        <v/>
      </c>
      <c r="T69" s="1"/>
      <c r="U69" s="35" t="str">
        <f t="shared" ref="U69:U132" si="8">IF(AND(L69&lt;=$I$2,S69&gt;=0.2),1,"")</f>
        <v/>
      </c>
    </row>
    <row r="70" spans="1:21" x14ac:dyDescent="0.25">
      <c r="A70" s="26"/>
      <c r="B70" s="26"/>
      <c r="C70" s="26"/>
      <c r="D70" s="26"/>
      <c r="E70" s="26"/>
      <c r="F70" s="26"/>
      <c r="L70" s="26">
        <v>67</v>
      </c>
      <c r="M70" t="s">
        <v>253</v>
      </c>
      <c r="N70" s="1" t="str">
        <f t="shared" si="6"/>
        <v/>
      </c>
      <c r="O70" s="31"/>
      <c r="P70" s="34" t="str">
        <f t="shared" si="7"/>
        <v/>
      </c>
      <c r="R70" t="s">
        <v>253</v>
      </c>
      <c r="S70" s="1" t="str">
        <f t="shared" si="5"/>
        <v/>
      </c>
      <c r="T70" s="1"/>
      <c r="U70" s="35" t="str">
        <f t="shared" si="8"/>
        <v/>
      </c>
    </row>
    <row r="71" spans="1:21" x14ac:dyDescent="0.25">
      <c r="A71" s="26"/>
      <c r="B71" s="26"/>
      <c r="C71" s="26"/>
      <c r="D71" s="26"/>
      <c r="E71" s="26"/>
      <c r="F71" s="26"/>
      <c r="L71" s="26">
        <v>68</v>
      </c>
      <c r="M71" t="s">
        <v>252</v>
      </c>
      <c r="N71" s="1" t="str">
        <f t="shared" si="6"/>
        <v/>
      </c>
      <c r="O71" s="31"/>
      <c r="P71" s="34" t="str">
        <f t="shared" si="7"/>
        <v/>
      </c>
      <c r="R71" t="s">
        <v>252</v>
      </c>
      <c r="S71" s="1" t="str">
        <f t="shared" si="5"/>
        <v/>
      </c>
      <c r="T71" s="1"/>
      <c r="U71" s="35" t="str">
        <f t="shared" si="8"/>
        <v/>
      </c>
    </row>
    <row r="72" spans="1:21" x14ac:dyDescent="0.25">
      <c r="A72" s="26"/>
      <c r="B72" s="26"/>
      <c r="C72" s="26"/>
      <c r="D72" s="26"/>
      <c r="E72" s="26"/>
      <c r="F72" s="26"/>
      <c r="L72" s="26">
        <v>69</v>
      </c>
      <c r="M72" t="s">
        <v>251</v>
      </c>
      <c r="N72" s="1" t="str">
        <f t="shared" si="6"/>
        <v/>
      </c>
      <c r="O72" s="31"/>
      <c r="P72" s="34" t="str">
        <f t="shared" si="7"/>
        <v/>
      </c>
      <c r="R72" t="s">
        <v>251</v>
      </c>
      <c r="S72" s="1" t="str">
        <f t="shared" si="5"/>
        <v/>
      </c>
      <c r="T72" s="1"/>
      <c r="U72" s="35" t="str">
        <f t="shared" si="8"/>
        <v/>
      </c>
    </row>
    <row r="73" spans="1:21" x14ac:dyDescent="0.25">
      <c r="A73" s="26"/>
      <c r="B73" s="26"/>
      <c r="C73" s="26"/>
      <c r="D73" s="26"/>
      <c r="E73" s="26"/>
      <c r="F73" s="26"/>
      <c r="L73" s="26">
        <v>70</v>
      </c>
      <c r="M73" t="s">
        <v>250</v>
      </c>
      <c r="N73" s="1" t="str">
        <f t="shared" si="6"/>
        <v/>
      </c>
      <c r="O73" s="31"/>
      <c r="P73" s="34" t="str">
        <f t="shared" si="7"/>
        <v/>
      </c>
      <c r="R73" t="s">
        <v>250</v>
      </c>
      <c r="S73" s="1" t="str">
        <f t="shared" si="5"/>
        <v/>
      </c>
      <c r="T73" s="1"/>
      <c r="U73" s="35" t="str">
        <f t="shared" si="8"/>
        <v/>
      </c>
    </row>
    <row r="74" spans="1:21" x14ac:dyDescent="0.25">
      <c r="A74" s="26"/>
      <c r="B74" s="26"/>
      <c r="C74" s="26"/>
      <c r="D74" s="26"/>
      <c r="E74" s="26"/>
      <c r="F74" s="26"/>
      <c r="L74" s="26">
        <v>71</v>
      </c>
      <c r="M74" t="s">
        <v>249</v>
      </c>
      <c r="N74" s="1" t="str">
        <f t="shared" si="6"/>
        <v/>
      </c>
      <c r="O74" s="31"/>
      <c r="P74" s="34" t="str">
        <f t="shared" si="7"/>
        <v/>
      </c>
      <c r="R74" t="s">
        <v>249</v>
      </c>
      <c r="S74" s="1" t="str">
        <f t="shared" si="5"/>
        <v/>
      </c>
      <c r="T74" s="1"/>
      <c r="U74" s="35" t="str">
        <f t="shared" si="8"/>
        <v/>
      </c>
    </row>
    <row r="75" spans="1:21" x14ac:dyDescent="0.25">
      <c r="A75" s="26"/>
      <c r="B75" s="26"/>
      <c r="C75" s="26"/>
      <c r="D75" s="26"/>
      <c r="E75" s="26"/>
      <c r="F75" s="26"/>
      <c r="L75" s="26">
        <v>72</v>
      </c>
      <c r="M75" t="s">
        <v>248</v>
      </c>
      <c r="N75" s="1" t="str">
        <f t="shared" si="6"/>
        <v/>
      </c>
      <c r="O75" s="31"/>
      <c r="P75" s="34" t="str">
        <f t="shared" si="7"/>
        <v/>
      </c>
      <c r="R75" t="s">
        <v>248</v>
      </c>
      <c r="S75" s="1" t="str">
        <f t="shared" si="5"/>
        <v/>
      </c>
      <c r="T75" s="1"/>
      <c r="U75" s="35" t="str">
        <f t="shared" si="8"/>
        <v/>
      </c>
    </row>
    <row r="76" spans="1:21" x14ac:dyDescent="0.25">
      <c r="A76" s="26"/>
      <c r="B76" s="26"/>
      <c r="C76" s="26"/>
      <c r="D76" s="26"/>
      <c r="E76" s="26"/>
      <c r="F76" s="26"/>
      <c r="L76" s="26">
        <v>73</v>
      </c>
      <c r="M76" t="s">
        <v>247</v>
      </c>
      <c r="N76" s="1" t="str">
        <f t="shared" si="6"/>
        <v/>
      </c>
      <c r="O76" s="31"/>
      <c r="P76" s="34" t="str">
        <f t="shared" si="7"/>
        <v/>
      </c>
      <c r="R76" t="s">
        <v>247</v>
      </c>
      <c r="S76" s="1" t="str">
        <f t="shared" si="5"/>
        <v/>
      </c>
      <c r="T76" s="1"/>
      <c r="U76" s="35" t="str">
        <f t="shared" si="8"/>
        <v/>
      </c>
    </row>
    <row r="77" spans="1:21" x14ac:dyDescent="0.25">
      <c r="A77" s="26"/>
      <c r="B77" s="26"/>
      <c r="C77" s="26"/>
      <c r="D77" s="26"/>
      <c r="E77" s="26"/>
      <c r="F77" s="26"/>
      <c r="L77" s="26">
        <v>74</v>
      </c>
      <c r="M77" t="s">
        <v>246</v>
      </c>
      <c r="N77" s="1" t="str">
        <f t="shared" si="6"/>
        <v/>
      </c>
      <c r="O77" s="31"/>
      <c r="P77" s="34" t="str">
        <f t="shared" si="7"/>
        <v/>
      </c>
      <c r="R77" t="s">
        <v>246</v>
      </c>
      <c r="S77" s="1" t="str">
        <f t="shared" si="5"/>
        <v/>
      </c>
      <c r="T77" s="1"/>
      <c r="U77" s="35" t="str">
        <f t="shared" si="8"/>
        <v/>
      </c>
    </row>
    <row r="78" spans="1:21" x14ac:dyDescent="0.25">
      <c r="A78" s="26"/>
      <c r="B78" s="26"/>
      <c r="C78" s="26"/>
      <c r="D78" s="26"/>
      <c r="E78" s="26"/>
      <c r="F78" s="26"/>
      <c r="L78" s="26">
        <v>75</v>
      </c>
      <c r="M78" t="s">
        <v>245</v>
      </c>
      <c r="N78" s="1" t="str">
        <f t="shared" si="6"/>
        <v/>
      </c>
      <c r="O78" s="31"/>
      <c r="P78" s="34" t="str">
        <f t="shared" si="7"/>
        <v/>
      </c>
      <c r="R78" t="s">
        <v>245</v>
      </c>
      <c r="S78" s="1" t="str">
        <f t="shared" si="5"/>
        <v/>
      </c>
      <c r="T78" s="1"/>
      <c r="U78" s="35" t="str">
        <f t="shared" si="8"/>
        <v/>
      </c>
    </row>
    <row r="79" spans="1:21" x14ac:dyDescent="0.25">
      <c r="A79" s="26"/>
      <c r="B79" s="26"/>
      <c r="C79" s="26"/>
      <c r="D79" s="26"/>
      <c r="E79" s="26"/>
      <c r="F79" s="26"/>
      <c r="L79" s="26">
        <v>76</v>
      </c>
      <c r="M79" t="s">
        <v>244</v>
      </c>
      <c r="N79" s="1" t="str">
        <f t="shared" si="6"/>
        <v/>
      </c>
      <c r="O79" s="31"/>
      <c r="P79" s="34" t="str">
        <f t="shared" si="7"/>
        <v/>
      </c>
      <c r="R79" t="s">
        <v>244</v>
      </c>
      <c r="S79" s="1" t="str">
        <f t="shared" si="5"/>
        <v/>
      </c>
      <c r="T79" s="1"/>
      <c r="U79" s="35" t="str">
        <f t="shared" si="8"/>
        <v/>
      </c>
    </row>
    <row r="80" spans="1:21" x14ac:dyDescent="0.25">
      <c r="A80" s="26"/>
      <c r="B80" s="26"/>
      <c r="C80" s="26"/>
      <c r="D80" s="26"/>
      <c r="E80" s="26"/>
      <c r="F80" s="26"/>
      <c r="L80" s="26">
        <v>77</v>
      </c>
      <c r="M80" t="s">
        <v>243</v>
      </c>
      <c r="N80" s="1" t="str">
        <f t="shared" si="6"/>
        <v/>
      </c>
      <c r="O80" s="31"/>
      <c r="P80" s="34" t="str">
        <f t="shared" si="7"/>
        <v/>
      </c>
      <c r="R80" t="s">
        <v>243</v>
      </c>
      <c r="S80" s="1" t="str">
        <f t="shared" si="5"/>
        <v/>
      </c>
      <c r="T80" s="1"/>
      <c r="U80" s="35" t="str">
        <f t="shared" si="8"/>
        <v/>
      </c>
    </row>
    <row r="81" spans="1:21" x14ac:dyDescent="0.25">
      <c r="A81" s="26"/>
      <c r="B81" s="26"/>
      <c r="C81" s="26"/>
      <c r="D81" s="26"/>
      <c r="E81" s="26"/>
      <c r="F81" s="26"/>
      <c r="L81" s="26">
        <v>78</v>
      </c>
      <c r="M81" t="s">
        <v>242</v>
      </c>
      <c r="N81" s="1" t="str">
        <f t="shared" si="6"/>
        <v/>
      </c>
      <c r="O81" s="31"/>
      <c r="P81" s="34" t="str">
        <f t="shared" si="7"/>
        <v/>
      </c>
      <c r="R81" t="s">
        <v>242</v>
      </c>
      <c r="S81" s="1" t="str">
        <f t="shared" si="5"/>
        <v/>
      </c>
      <c r="T81" s="1"/>
      <c r="U81" s="35" t="str">
        <f t="shared" si="8"/>
        <v/>
      </c>
    </row>
    <row r="82" spans="1:21" x14ac:dyDescent="0.25">
      <c r="A82" s="26"/>
      <c r="B82" s="26"/>
      <c r="C82" s="26"/>
      <c r="D82" s="26"/>
      <c r="E82" s="26"/>
      <c r="F82" s="26"/>
      <c r="L82" s="26">
        <v>79</v>
      </c>
      <c r="M82" t="s">
        <v>241</v>
      </c>
      <c r="N82" s="1" t="str">
        <f t="shared" si="6"/>
        <v/>
      </c>
      <c r="O82" s="31"/>
      <c r="P82" s="34" t="str">
        <f t="shared" si="7"/>
        <v/>
      </c>
      <c r="R82" t="s">
        <v>241</v>
      </c>
      <c r="S82" s="1" t="str">
        <f t="shared" si="5"/>
        <v/>
      </c>
      <c r="T82" s="1"/>
      <c r="U82" s="35" t="str">
        <f t="shared" si="8"/>
        <v/>
      </c>
    </row>
    <row r="83" spans="1:21" x14ac:dyDescent="0.25">
      <c r="A83" s="26"/>
      <c r="B83" s="26"/>
      <c r="C83" s="26"/>
      <c r="D83" s="26"/>
      <c r="E83" s="26"/>
      <c r="F83" s="26"/>
      <c r="L83" s="26">
        <v>80</v>
      </c>
      <c r="M83" t="s">
        <v>240</v>
      </c>
      <c r="N83" s="1" t="str">
        <f t="shared" si="6"/>
        <v/>
      </c>
      <c r="O83" s="31"/>
      <c r="P83" s="34" t="str">
        <f t="shared" si="7"/>
        <v/>
      </c>
      <c r="R83" t="s">
        <v>240</v>
      </c>
      <c r="S83" s="1" t="str">
        <f t="shared" si="5"/>
        <v/>
      </c>
      <c r="T83" s="1"/>
      <c r="U83" s="35" t="str">
        <f t="shared" si="8"/>
        <v/>
      </c>
    </row>
    <row r="84" spans="1:21" x14ac:dyDescent="0.25">
      <c r="A84" s="26"/>
      <c r="B84" s="26"/>
      <c r="C84" s="26"/>
      <c r="D84" s="26"/>
      <c r="E84" s="26"/>
      <c r="F84" s="26"/>
      <c r="L84" s="26">
        <v>81</v>
      </c>
      <c r="M84" t="s">
        <v>239</v>
      </c>
      <c r="N84" s="1" t="str">
        <f t="shared" si="6"/>
        <v/>
      </c>
      <c r="O84" s="31"/>
      <c r="P84" s="34" t="str">
        <f t="shared" si="7"/>
        <v/>
      </c>
      <c r="R84" t="s">
        <v>239</v>
      </c>
      <c r="S84" s="1" t="str">
        <f t="shared" si="5"/>
        <v/>
      </c>
      <c r="T84" s="1"/>
      <c r="U84" s="35" t="str">
        <f t="shared" si="8"/>
        <v/>
      </c>
    </row>
    <row r="85" spans="1:21" x14ac:dyDescent="0.25">
      <c r="A85" s="26"/>
      <c r="B85" s="26"/>
      <c r="C85" s="26"/>
      <c r="D85" s="26"/>
      <c r="E85" s="26"/>
      <c r="F85" s="26"/>
      <c r="L85" s="26">
        <v>82</v>
      </c>
      <c r="M85" t="s">
        <v>238</v>
      </c>
      <c r="N85" s="1" t="str">
        <f t="shared" si="6"/>
        <v/>
      </c>
      <c r="O85" s="31"/>
      <c r="P85" s="34" t="str">
        <f t="shared" si="7"/>
        <v/>
      </c>
      <c r="R85" t="s">
        <v>238</v>
      </c>
      <c r="S85" s="1" t="str">
        <f t="shared" si="5"/>
        <v/>
      </c>
      <c r="T85" s="1"/>
      <c r="U85" s="35" t="str">
        <f t="shared" si="8"/>
        <v/>
      </c>
    </row>
    <row r="86" spans="1:21" x14ac:dyDescent="0.25">
      <c r="A86" s="26"/>
      <c r="B86" s="26"/>
      <c r="C86" s="26"/>
      <c r="D86" s="26"/>
      <c r="E86" s="26"/>
      <c r="F86" s="26"/>
      <c r="L86" s="26">
        <v>83</v>
      </c>
      <c r="M86" t="s">
        <v>237</v>
      </c>
      <c r="N86" s="1" t="str">
        <f t="shared" si="6"/>
        <v/>
      </c>
      <c r="O86" s="31"/>
      <c r="P86" s="34" t="str">
        <f t="shared" si="7"/>
        <v/>
      </c>
      <c r="R86" t="s">
        <v>237</v>
      </c>
      <c r="S86" s="1" t="str">
        <f t="shared" si="5"/>
        <v/>
      </c>
      <c r="T86" s="1"/>
      <c r="U86" s="35" t="str">
        <f t="shared" si="8"/>
        <v/>
      </c>
    </row>
    <row r="87" spans="1:21" x14ac:dyDescent="0.25">
      <c r="A87" s="26"/>
      <c r="B87" s="26"/>
      <c r="C87" s="26"/>
      <c r="D87" s="26"/>
      <c r="E87" s="26"/>
      <c r="F87" s="26"/>
      <c r="L87" s="26">
        <v>84</v>
      </c>
      <c r="M87" t="s">
        <v>236</v>
      </c>
      <c r="N87" s="1" t="str">
        <f t="shared" si="6"/>
        <v/>
      </c>
      <c r="O87" s="31"/>
      <c r="P87" s="34" t="str">
        <f t="shared" si="7"/>
        <v/>
      </c>
      <c r="R87" t="s">
        <v>236</v>
      </c>
      <c r="S87" s="1" t="str">
        <f t="shared" si="5"/>
        <v/>
      </c>
      <c r="T87" s="1"/>
      <c r="U87" s="35" t="str">
        <f t="shared" si="8"/>
        <v/>
      </c>
    </row>
    <row r="88" spans="1:21" x14ac:dyDescent="0.25">
      <c r="A88" s="26"/>
      <c r="B88" s="26"/>
      <c r="C88" s="26"/>
      <c r="D88" s="26"/>
      <c r="E88" s="26"/>
      <c r="F88" s="26"/>
      <c r="L88" s="26">
        <v>85</v>
      </c>
      <c r="M88" t="s">
        <v>235</v>
      </c>
      <c r="N88" s="1" t="str">
        <f t="shared" si="6"/>
        <v/>
      </c>
      <c r="O88" s="31"/>
      <c r="P88" s="34" t="str">
        <f t="shared" si="7"/>
        <v/>
      </c>
      <c r="R88" t="s">
        <v>235</v>
      </c>
      <c r="S88" s="1" t="str">
        <f t="shared" ref="S88:S151" si="9">IF(L88&gt;$I$2,"",E88/$D$3-1)</f>
        <v/>
      </c>
      <c r="T88" s="1"/>
      <c r="U88" s="35" t="str">
        <f t="shared" si="8"/>
        <v/>
      </c>
    </row>
    <row r="89" spans="1:21" x14ac:dyDescent="0.25">
      <c r="A89" s="26"/>
      <c r="B89" s="26"/>
      <c r="C89" s="26"/>
      <c r="D89" s="26"/>
      <c r="E89" s="26"/>
      <c r="F89" s="26"/>
      <c r="L89" s="26">
        <v>86</v>
      </c>
      <c r="M89" t="s">
        <v>234</v>
      </c>
      <c r="N89" s="1" t="str">
        <f t="shared" si="6"/>
        <v/>
      </c>
      <c r="O89" s="31"/>
      <c r="P89" s="34" t="str">
        <f t="shared" si="7"/>
        <v/>
      </c>
      <c r="R89" t="s">
        <v>234</v>
      </c>
      <c r="S89" s="1" t="str">
        <f t="shared" si="9"/>
        <v/>
      </c>
      <c r="T89" s="1"/>
      <c r="U89" s="35" t="str">
        <f t="shared" si="8"/>
        <v/>
      </c>
    </row>
    <row r="90" spans="1:21" x14ac:dyDescent="0.25">
      <c r="A90" s="26"/>
      <c r="B90" s="26"/>
      <c r="C90" s="26"/>
      <c r="D90" s="26"/>
      <c r="E90" s="26"/>
      <c r="F90" s="26"/>
      <c r="L90" s="26">
        <v>87</v>
      </c>
      <c r="M90" t="s">
        <v>233</v>
      </c>
      <c r="N90" s="1" t="str">
        <f t="shared" si="6"/>
        <v/>
      </c>
      <c r="O90" s="31"/>
      <c r="P90" s="34" t="str">
        <f t="shared" si="7"/>
        <v/>
      </c>
      <c r="R90" t="s">
        <v>233</v>
      </c>
      <c r="S90" s="1" t="str">
        <f t="shared" si="9"/>
        <v/>
      </c>
      <c r="T90" s="1"/>
      <c r="U90" s="35" t="str">
        <f t="shared" si="8"/>
        <v/>
      </c>
    </row>
    <row r="91" spans="1:21" x14ac:dyDescent="0.25">
      <c r="A91" s="26"/>
      <c r="B91" s="26"/>
      <c r="C91" s="26"/>
      <c r="D91" s="26"/>
      <c r="E91" s="26"/>
      <c r="F91" s="26"/>
      <c r="L91" s="26">
        <v>88</v>
      </c>
      <c r="M91" t="s">
        <v>232</v>
      </c>
      <c r="N91" s="1" t="str">
        <f t="shared" si="6"/>
        <v/>
      </c>
      <c r="O91" s="31"/>
      <c r="P91" s="34" t="str">
        <f t="shared" si="7"/>
        <v/>
      </c>
      <c r="R91" t="s">
        <v>232</v>
      </c>
      <c r="S91" s="1" t="str">
        <f t="shared" si="9"/>
        <v/>
      </c>
      <c r="T91" s="1"/>
      <c r="U91" s="35" t="str">
        <f t="shared" si="8"/>
        <v/>
      </c>
    </row>
    <row r="92" spans="1:21" x14ac:dyDescent="0.25">
      <c r="A92" s="26"/>
      <c r="B92" s="26"/>
      <c r="C92" s="26"/>
      <c r="D92" s="26"/>
      <c r="E92" s="26"/>
      <c r="F92" s="26"/>
      <c r="L92" s="26">
        <v>89</v>
      </c>
      <c r="M92" t="s">
        <v>231</v>
      </c>
      <c r="N92" s="1" t="str">
        <f t="shared" si="6"/>
        <v/>
      </c>
      <c r="O92" s="31"/>
      <c r="P92" s="34" t="str">
        <f t="shared" si="7"/>
        <v/>
      </c>
      <c r="R92" t="s">
        <v>231</v>
      </c>
      <c r="S92" s="1" t="str">
        <f t="shared" si="9"/>
        <v/>
      </c>
      <c r="T92" s="1"/>
      <c r="U92" s="35" t="str">
        <f t="shared" si="8"/>
        <v/>
      </c>
    </row>
    <row r="93" spans="1:21" x14ac:dyDescent="0.25">
      <c r="A93" s="26"/>
      <c r="B93" s="26"/>
      <c r="C93" s="26"/>
      <c r="D93" s="26"/>
      <c r="E93" s="26"/>
      <c r="F93" s="26"/>
      <c r="L93" s="26">
        <v>90</v>
      </c>
      <c r="M93" t="s">
        <v>230</v>
      </c>
      <c r="N93" s="1" t="str">
        <f t="shared" si="6"/>
        <v/>
      </c>
      <c r="O93" s="31"/>
      <c r="P93" s="34" t="str">
        <f t="shared" si="7"/>
        <v/>
      </c>
      <c r="R93" t="s">
        <v>230</v>
      </c>
      <c r="S93" s="1" t="str">
        <f t="shared" si="9"/>
        <v/>
      </c>
      <c r="T93" s="1"/>
      <c r="U93" s="35" t="str">
        <f t="shared" si="8"/>
        <v/>
      </c>
    </row>
    <row r="94" spans="1:21" x14ac:dyDescent="0.25">
      <c r="A94" s="26"/>
      <c r="B94" s="26"/>
      <c r="C94" s="26"/>
      <c r="D94" s="26"/>
      <c r="E94" s="26"/>
      <c r="F94" s="26"/>
      <c r="L94" s="26">
        <v>91</v>
      </c>
      <c r="M94" t="s">
        <v>229</v>
      </c>
      <c r="N94" s="1" t="str">
        <f t="shared" si="6"/>
        <v/>
      </c>
      <c r="O94" s="31"/>
      <c r="P94" s="34" t="str">
        <f t="shared" si="7"/>
        <v/>
      </c>
      <c r="R94" t="s">
        <v>229</v>
      </c>
      <c r="S94" s="1" t="str">
        <f t="shared" si="9"/>
        <v/>
      </c>
      <c r="T94" s="1"/>
      <c r="U94" s="35" t="str">
        <f t="shared" si="8"/>
        <v/>
      </c>
    </row>
    <row r="95" spans="1:21" x14ac:dyDescent="0.25">
      <c r="A95" s="26"/>
      <c r="B95" s="26"/>
      <c r="C95" s="26"/>
      <c r="D95" s="26"/>
      <c r="E95" s="26"/>
      <c r="F95" s="26"/>
      <c r="L95" s="26">
        <v>92</v>
      </c>
      <c r="M95" t="s">
        <v>228</v>
      </c>
      <c r="N95" s="1" t="str">
        <f t="shared" si="6"/>
        <v/>
      </c>
      <c r="O95" s="31"/>
      <c r="P95" s="34" t="str">
        <f t="shared" si="7"/>
        <v/>
      </c>
      <c r="R95" t="s">
        <v>228</v>
      </c>
      <c r="S95" s="1" t="str">
        <f t="shared" si="9"/>
        <v/>
      </c>
      <c r="T95" s="1"/>
      <c r="U95" s="35" t="str">
        <f t="shared" si="8"/>
        <v/>
      </c>
    </row>
    <row r="96" spans="1:21" x14ac:dyDescent="0.25">
      <c r="L96" s="26">
        <v>93</v>
      </c>
      <c r="M96" t="s">
        <v>227</v>
      </c>
      <c r="N96" s="1" t="str">
        <f t="shared" si="6"/>
        <v/>
      </c>
      <c r="O96" s="31"/>
      <c r="P96" s="34" t="str">
        <f t="shared" si="7"/>
        <v/>
      </c>
      <c r="R96" t="s">
        <v>227</v>
      </c>
      <c r="S96" s="1" t="str">
        <f t="shared" si="9"/>
        <v/>
      </c>
      <c r="T96" s="1"/>
      <c r="U96" s="35" t="str">
        <f t="shared" si="8"/>
        <v/>
      </c>
    </row>
    <row r="97" spans="12:21" x14ac:dyDescent="0.25">
      <c r="L97" s="26">
        <v>94</v>
      </c>
      <c r="M97" t="s">
        <v>226</v>
      </c>
      <c r="N97" s="1" t="str">
        <f t="shared" si="6"/>
        <v/>
      </c>
      <c r="O97" s="31"/>
      <c r="P97" s="34" t="str">
        <f t="shared" si="7"/>
        <v/>
      </c>
      <c r="R97" t="s">
        <v>226</v>
      </c>
      <c r="S97" s="1" t="str">
        <f t="shared" si="9"/>
        <v/>
      </c>
      <c r="T97" s="1"/>
      <c r="U97" s="35" t="str">
        <f t="shared" si="8"/>
        <v/>
      </c>
    </row>
    <row r="98" spans="12:21" x14ac:dyDescent="0.25">
      <c r="L98" s="26">
        <v>95</v>
      </c>
      <c r="M98" t="s">
        <v>225</v>
      </c>
      <c r="N98" s="1" t="str">
        <f t="shared" si="6"/>
        <v/>
      </c>
      <c r="O98" s="31"/>
      <c r="P98" s="34" t="str">
        <f t="shared" si="7"/>
        <v/>
      </c>
      <c r="R98" t="s">
        <v>225</v>
      </c>
      <c r="S98" s="1" t="str">
        <f t="shared" si="9"/>
        <v/>
      </c>
      <c r="T98" s="1"/>
      <c r="U98" s="35" t="str">
        <f t="shared" si="8"/>
        <v/>
      </c>
    </row>
    <row r="99" spans="12:21" x14ac:dyDescent="0.25">
      <c r="L99" s="26">
        <v>96</v>
      </c>
      <c r="M99" t="s">
        <v>224</v>
      </c>
      <c r="N99" s="1" t="str">
        <f t="shared" si="6"/>
        <v/>
      </c>
      <c r="O99" s="31"/>
      <c r="P99" s="34" t="str">
        <f t="shared" si="7"/>
        <v/>
      </c>
      <c r="R99" t="s">
        <v>224</v>
      </c>
      <c r="S99" s="1" t="str">
        <f t="shared" si="9"/>
        <v/>
      </c>
      <c r="T99" s="1"/>
      <c r="U99" s="35" t="str">
        <f t="shared" si="8"/>
        <v/>
      </c>
    </row>
    <row r="100" spans="12:21" x14ac:dyDescent="0.25">
      <c r="L100" s="26">
        <v>97</v>
      </c>
      <c r="M100" t="s">
        <v>223</v>
      </c>
      <c r="N100" s="1" t="str">
        <f t="shared" si="6"/>
        <v/>
      </c>
      <c r="O100" s="31"/>
      <c r="P100" s="34" t="str">
        <f t="shared" si="7"/>
        <v/>
      </c>
      <c r="R100" t="s">
        <v>223</v>
      </c>
      <c r="S100" s="1" t="str">
        <f t="shared" si="9"/>
        <v/>
      </c>
      <c r="T100" s="1"/>
      <c r="U100" s="35" t="str">
        <f t="shared" si="8"/>
        <v/>
      </c>
    </row>
    <row r="101" spans="12:21" x14ac:dyDescent="0.25">
      <c r="L101" s="26">
        <v>98</v>
      </c>
      <c r="M101" t="s">
        <v>222</v>
      </c>
      <c r="N101" s="1" t="str">
        <f t="shared" si="6"/>
        <v/>
      </c>
      <c r="O101" s="31"/>
      <c r="P101" s="34" t="str">
        <f t="shared" si="7"/>
        <v/>
      </c>
      <c r="R101" t="s">
        <v>222</v>
      </c>
      <c r="S101" s="1" t="str">
        <f t="shared" si="9"/>
        <v/>
      </c>
      <c r="T101" s="1"/>
      <c r="U101" s="35" t="str">
        <f t="shared" si="8"/>
        <v/>
      </c>
    </row>
    <row r="102" spans="12:21" x14ac:dyDescent="0.25">
      <c r="L102" s="26">
        <v>99</v>
      </c>
      <c r="M102" t="s">
        <v>221</v>
      </c>
      <c r="N102" s="1" t="str">
        <f t="shared" si="6"/>
        <v/>
      </c>
      <c r="O102" s="31"/>
      <c r="P102" s="34" t="str">
        <f t="shared" si="7"/>
        <v/>
      </c>
      <c r="R102" t="s">
        <v>221</v>
      </c>
      <c r="S102" s="1" t="str">
        <f t="shared" si="9"/>
        <v/>
      </c>
      <c r="T102" s="1"/>
      <c r="U102" s="35" t="str">
        <f t="shared" si="8"/>
        <v/>
      </c>
    </row>
    <row r="103" spans="12:21" x14ac:dyDescent="0.25">
      <c r="L103" s="26">
        <v>100</v>
      </c>
      <c r="M103" t="s">
        <v>220</v>
      </c>
      <c r="N103" s="1" t="str">
        <f t="shared" si="6"/>
        <v/>
      </c>
      <c r="O103" s="31"/>
      <c r="P103" s="34" t="str">
        <f t="shared" si="7"/>
        <v/>
      </c>
      <c r="R103" t="s">
        <v>220</v>
      </c>
      <c r="S103" s="1" t="str">
        <f t="shared" si="9"/>
        <v/>
      </c>
      <c r="T103" s="1"/>
      <c r="U103" s="35" t="str">
        <f t="shared" si="8"/>
        <v/>
      </c>
    </row>
    <row r="104" spans="12:21" x14ac:dyDescent="0.25">
      <c r="L104" s="26">
        <v>101</v>
      </c>
      <c r="M104" t="s">
        <v>219</v>
      </c>
      <c r="N104" s="1" t="str">
        <f t="shared" si="6"/>
        <v/>
      </c>
      <c r="O104" s="31"/>
      <c r="P104" s="34" t="str">
        <f t="shared" si="7"/>
        <v/>
      </c>
      <c r="R104" t="s">
        <v>219</v>
      </c>
      <c r="S104" s="1" t="str">
        <f t="shared" si="9"/>
        <v/>
      </c>
      <c r="T104" s="1"/>
      <c r="U104" s="35" t="str">
        <f t="shared" si="8"/>
        <v/>
      </c>
    </row>
    <row r="105" spans="12:21" x14ac:dyDescent="0.25">
      <c r="L105" s="26">
        <v>102</v>
      </c>
      <c r="M105" t="s">
        <v>218</v>
      </c>
      <c r="N105" s="1" t="str">
        <f t="shared" si="6"/>
        <v/>
      </c>
      <c r="O105" s="31"/>
      <c r="P105" s="34" t="str">
        <f t="shared" si="7"/>
        <v/>
      </c>
      <c r="R105" t="s">
        <v>218</v>
      </c>
      <c r="S105" s="1" t="str">
        <f t="shared" si="9"/>
        <v/>
      </c>
      <c r="T105" s="1"/>
      <c r="U105" s="35" t="str">
        <f t="shared" si="8"/>
        <v/>
      </c>
    </row>
    <row r="106" spans="12:21" x14ac:dyDescent="0.25">
      <c r="L106" s="26">
        <v>103</v>
      </c>
      <c r="M106" t="s">
        <v>217</v>
      </c>
      <c r="N106" s="1" t="str">
        <f t="shared" si="6"/>
        <v/>
      </c>
      <c r="O106" s="31"/>
      <c r="P106" s="34" t="str">
        <f t="shared" si="7"/>
        <v/>
      </c>
      <c r="R106" t="s">
        <v>217</v>
      </c>
      <c r="S106" s="1" t="str">
        <f t="shared" si="9"/>
        <v/>
      </c>
      <c r="T106" s="1"/>
      <c r="U106" s="35" t="str">
        <f t="shared" si="8"/>
        <v/>
      </c>
    </row>
    <row r="107" spans="12:21" x14ac:dyDescent="0.25">
      <c r="L107" s="26">
        <v>104</v>
      </c>
      <c r="M107" t="s">
        <v>216</v>
      </c>
      <c r="N107" s="1" t="str">
        <f t="shared" si="6"/>
        <v/>
      </c>
      <c r="O107" s="31"/>
      <c r="P107" s="34" t="str">
        <f t="shared" si="7"/>
        <v/>
      </c>
      <c r="R107" t="s">
        <v>216</v>
      </c>
      <c r="S107" s="1" t="str">
        <f t="shared" si="9"/>
        <v/>
      </c>
      <c r="T107" s="1"/>
      <c r="U107" s="35" t="str">
        <f t="shared" si="8"/>
        <v/>
      </c>
    </row>
    <row r="108" spans="12:21" x14ac:dyDescent="0.25">
      <c r="L108" s="26">
        <v>105</v>
      </c>
      <c r="M108" t="s">
        <v>215</v>
      </c>
      <c r="N108" s="1" t="str">
        <f t="shared" si="6"/>
        <v/>
      </c>
      <c r="O108" s="31"/>
      <c r="P108" s="34" t="str">
        <f t="shared" si="7"/>
        <v/>
      </c>
      <c r="R108" t="s">
        <v>215</v>
      </c>
      <c r="S108" s="1" t="str">
        <f t="shared" si="9"/>
        <v/>
      </c>
      <c r="T108" s="1"/>
      <c r="U108" s="35" t="str">
        <f t="shared" si="8"/>
        <v/>
      </c>
    </row>
    <row r="109" spans="12:21" x14ac:dyDescent="0.25">
      <c r="L109" s="26">
        <v>106</v>
      </c>
      <c r="M109" t="s">
        <v>214</v>
      </c>
      <c r="N109" s="1" t="str">
        <f t="shared" si="6"/>
        <v/>
      </c>
      <c r="O109" s="31"/>
      <c r="P109" s="34" t="str">
        <f t="shared" si="7"/>
        <v/>
      </c>
      <c r="R109" t="s">
        <v>214</v>
      </c>
      <c r="S109" s="1" t="str">
        <f t="shared" si="9"/>
        <v/>
      </c>
      <c r="T109" s="1"/>
      <c r="U109" s="35" t="str">
        <f t="shared" si="8"/>
        <v/>
      </c>
    </row>
    <row r="110" spans="12:21" x14ac:dyDescent="0.25">
      <c r="L110" s="26">
        <v>107</v>
      </c>
      <c r="M110" t="s">
        <v>213</v>
      </c>
      <c r="N110" s="1" t="str">
        <f t="shared" si="6"/>
        <v/>
      </c>
      <c r="O110" s="31"/>
      <c r="P110" s="34" t="str">
        <f t="shared" si="7"/>
        <v/>
      </c>
      <c r="R110" t="s">
        <v>213</v>
      </c>
      <c r="S110" s="1" t="str">
        <f t="shared" si="9"/>
        <v/>
      </c>
      <c r="T110" s="1"/>
      <c r="U110" s="35" t="str">
        <f t="shared" si="8"/>
        <v/>
      </c>
    </row>
    <row r="111" spans="12:21" x14ac:dyDescent="0.25">
      <c r="L111" s="26">
        <v>108</v>
      </c>
      <c r="M111" t="s">
        <v>212</v>
      </c>
      <c r="N111" s="1" t="str">
        <f t="shared" si="6"/>
        <v/>
      </c>
      <c r="O111" s="31"/>
      <c r="P111" s="34" t="str">
        <f t="shared" si="7"/>
        <v/>
      </c>
      <c r="R111" t="s">
        <v>212</v>
      </c>
      <c r="S111" s="1" t="str">
        <f t="shared" si="9"/>
        <v/>
      </c>
      <c r="T111" s="1"/>
      <c r="U111" s="35" t="str">
        <f t="shared" si="8"/>
        <v/>
      </c>
    </row>
    <row r="112" spans="12:21" x14ac:dyDescent="0.25">
      <c r="L112" s="26">
        <v>109</v>
      </c>
      <c r="M112" t="s">
        <v>211</v>
      </c>
      <c r="N112" s="1" t="str">
        <f t="shared" si="6"/>
        <v/>
      </c>
      <c r="O112" s="31"/>
      <c r="P112" s="34" t="str">
        <f t="shared" si="7"/>
        <v/>
      </c>
      <c r="R112" t="s">
        <v>211</v>
      </c>
      <c r="S112" s="1" t="str">
        <f t="shared" si="9"/>
        <v/>
      </c>
      <c r="T112" s="1"/>
      <c r="U112" s="35" t="str">
        <f t="shared" si="8"/>
        <v/>
      </c>
    </row>
    <row r="113" spans="12:21" x14ac:dyDescent="0.25">
      <c r="L113" s="26">
        <v>110</v>
      </c>
      <c r="M113" t="s">
        <v>210</v>
      </c>
      <c r="N113" s="1" t="str">
        <f t="shared" si="6"/>
        <v/>
      </c>
      <c r="O113" s="31"/>
      <c r="P113" s="34" t="str">
        <f t="shared" si="7"/>
        <v/>
      </c>
      <c r="R113" t="s">
        <v>210</v>
      </c>
      <c r="S113" s="1" t="str">
        <f t="shared" si="9"/>
        <v/>
      </c>
      <c r="T113" s="1"/>
      <c r="U113" s="35" t="str">
        <f t="shared" si="8"/>
        <v/>
      </c>
    </row>
    <row r="114" spans="12:21" x14ac:dyDescent="0.25">
      <c r="L114" s="26">
        <v>111</v>
      </c>
      <c r="M114" t="s">
        <v>209</v>
      </c>
      <c r="N114" s="1" t="str">
        <f t="shared" si="6"/>
        <v/>
      </c>
      <c r="O114" s="31"/>
      <c r="P114" s="34" t="str">
        <f t="shared" si="7"/>
        <v/>
      </c>
      <c r="R114" t="s">
        <v>209</v>
      </c>
      <c r="S114" s="1" t="str">
        <f t="shared" si="9"/>
        <v/>
      </c>
      <c r="T114" s="1"/>
      <c r="U114" s="35" t="str">
        <f t="shared" si="8"/>
        <v/>
      </c>
    </row>
    <row r="115" spans="12:21" x14ac:dyDescent="0.25">
      <c r="L115" s="26">
        <v>112</v>
      </c>
      <c r="M115" t="s">
        <v>208</v>
      </c>
      <c r="N115" s="1" t="str">
        <f t="shared" si="6"/>
        <v/>
      </c>
      <c r="O115" s="31"/>
      <c r="P115" s="34" t="str">
        <f t="shared" si="7"/>
        <v/>
      </c>
      <c r="R115" t="s">
        <v>208</v>
      </c>
      <c r="S115" s="1" t="str">
        <f t="shared" si="9"/>
        <v/>
      </c>
      <c r="T115" s="1"/>
      <c r="U115" s="35" t="str">
        <f t="shared" si="8"/>
        <v/>
      </c>
    </row>
    <row r="116" spans="12:21" x14ac:dyDescent="0.25">
      <c r="L116" s="26">
        <v>113</v>
      </c>
      <c r="M116" t="s">
        <v>207</v>
      </c>
      <c r="N116" s="1" t="str">
        <f t="shared" si="6"/>
        <v/>
      </c>
      <c r="O116" s="31"/>
      <c r="P116" s="34" t="str">
        <f t="shared" si="7"/>
        <v/>
      </c>
      <c r="R116" t="s">
        <v>207</v>
      </c>
      <c r="S116" s="1" t="str">
        <f t="shared" si="9"/>
        <v/>
      </c>
      <c r="T116" s="1"/>
      <c r="U116" s="35" t="str">
        <f t="shared" si="8"/>
        <v/>
      </c>
    </row>
    <row r="117" spans="12:21" x14ac:dyDescent="0.25">
      <c r="L117" s="26">
        <v>114</v>
      </c>
      <c r="M117" t="s">
        <v>206</v>
      </c>
      <c r="N117" s="1" t="str">
        <f t="shared" si="6"/>
        <v/>
      </c>
      <c r="O117" s="31"/>
      <c r="P117" s="34" t="str">
        <f t="shared" si="7"/>
        <v/>
      </c>
      <c r="R117" t="s">
        <v>206</v>
      </c>
      <c r="S117" s="1" t="str">
        <f t="shared" si="9"/>
        <v/>
      </c>
      <c r="T117" s="1"/>
      <c r="U117" s="35" t="str">
        <f t="shared" si="8"/>
        <v/>
      </c>
    </row>
    <row r="118" spans="12:21" x14ac:dyDescent="0.25">
      <c r="L118" s="26">
        <v>115</v>
      </c>
      <c r="M118" t="s">
        <v>205</v>
      </c>
      <c r="N118" s="1" t="str">
        <f t="shared" si="6"/>
        <v/>
      </c>
      <c r="O118" s="31"/>
      <c r="P118" s="34" t="str">
        <f t="shared" si="7"/>
        <v/>
      </c>
      <c r="R118" t="s">
        <v>205</v>
      </c>
      <c r="S118" s="1" t="str">
        <f t="shared" si="9"/>
        <v/>
      </c>
      <c r="T118" s="1"/>
      <c r="U118" s="35" t="str">
        <f t="shared" si="8"/>
        <v/>
      </c>
    </row>
    <row r="119" spans="12:21" x14ac:dyDescent="0.25">
      <c r="L119" s="26">
        <v>116</v>
      </c>
      <c r="M119" t="s">
        <v>204</v>
      </c>
      <c r="N119" s="1" t="str">
        <f t="shared" si="6"/>
        <v/>
      </c>
      <c r="O119" s="31"/>
      <c r="P119" s="34" t="str">
        <f t="shared" si="7"/>
        <v/>
      </c>
      <c r="R119" t="s">
        <v>204</v>
      </c>
      <c r="S119" s="1" t="str">
        <f t="shared" si="9"/>
        <v/>
      </c>
      <c r="T119" s="1"/>
      <c r="U119" s="35" t="str">
        <f t="shared" si="8"/>
        <v/>
      </c>
    </row>
    <row r="120" spans="12:21" x14ac:dyDescent="0.25">
      <c r="L120" s="26">
        <v>117</v>
      </c>
      <c r="M120" t="s">
        <v>203</v>
      </c>
      <c r="N120" s="1" t="str">
        <f t="shared" si="6"/>
        <v/>
      </c>
      <c r="O120" s="31"/>
      <c r="P120" s="34" t="str">
        <f t="shared" si="7"/>
        <v/>
      </c>
      <c r="R120" t="s">
        <v>203</v>
      </c>
      <c r="S120" s="1" t="str">
        <f t="shared" si="9"/>
        <v/>
      </c>
      <c r="T120" s="1"/>
      <c r="U120" s="35" t="str">
        <f t="shared" si="8"/>
        <v/>
      </c>
    </row>
    <row r="121" spans="12:21" x14ac:dyDescent="0.25">
      <c r="L121" s="26">
        <v>118</v>
      </c>
      <c r="M121" t="s">
        <v>202</v>
      </c>
      <c r="N121" s="1" t="str">
        <f t="shared" si="6"/>
        <v/>
      </c>
      <c r="O121" s="31"/>
      <c r="P121" s="34" t="str">
        <f t="shared" si="7"/>
        <v/>
      </c>
      <c r="R121" t="s">
        <v>202</v>
      </c>
      <c r="S121" s="1" t="str">
        <f t="shared" si="9"/>
        <v/>
      </c>
      <c r="T121" s="1"/>
      <c r="U121" s="35" t="str">
        <f t="shared" si="8"/>
        <v/>
      </c>
    </row>
    <row r="122" spans="12:21" x14ac:dyDescent="0.25">
      <c r="L122" s="26">
        <v>119</v>
      </c>
      <c r="M122" t="s">
        <v>201</v>
      </c>
      <c r="N122" s="1" t="str">
        <f t="shared" si="6"/>
        <v/>
      </c>
      <c r="O122" s="31"/>
      <c r="P122" s="34" t="str">
        <f t="shared" si="7"/>
        <v/>
      </c>
      <c r="R122" t="s">
        <v>201</v>
      </c>
      <c r="S122" s="1" t="str">
        <f t="shared" si="9"/>
        <v/>
      </c>
      <c r="T122" s="1"/>
      <c r="U122" s="35" t="str">
        <f t="shared" si="8"/>
        <v/>
      </c>
    </row>
    <row r="123" spans="12:21" x14ac:dyDescent="0.25">
      <c r="L123" s="26">
        <v>120</v>
      </c>
      <c r="M123" t="s">
        <v>200</v>
      </c>
      <c r="N123" s="1" t="str">
        <f t="shared" si="6"/>
        <v/>
      </c>
      <c r="O123" s="31"/>
      <c r="P123" s="34" t="str">
        <f t="shared" si="7"/>
        <v/>
      </c>
      <c r="R123" t="s">
        <v>200</v>
      </c>
      <c r="S123" s="1" t="str">
        <f t="shared" si="9"/>
        <v/>
      </c>
      <c r="T123" s="1"/>
      <c r="U123" s="35" t="str">
        <f t="shared" si="8"/>
        <v/>
      </c>
    </row>
    <row r="124" spans="12:21" x14ac:dyDescent="0.25">
      <c r="L124" s="26">
        <v>121</v>
      </c>
      <c r="M124" t="s">
        <v>199</v>
      </c>
      <c r="N124" s="1" t="str">
        <f t="shared" si="6"/>
        <v/>
      </c>
      <c r="O124" s="31"/>
      <c r="P124" s="34" t="str">
        <f t="shared" si="7"/>
        <v/>
      </c>
      <c r="R124" t="s">
        <v>199</v>
      </c>
      <c r="S124" s="1" t="str">
        <f t="shared" si="9"/>
        <v/>
      </c>
      <c r="T124" s="1"/>
      <c r="U124" s="35" t="str">
        <f t="shared" si="8"/>
        <v/>
      </c>
    </row>
    <row r="125" spans="12:21" x14ac:dyDescent="0.25">
      <c r="L125" s="26">
        <v>122</v>
      </c>
      <c r="M125" t="s">
        <v>198</v>
      </c>
      <c r="N125" s="1" t="str">
        <f t="shared" si="6"/>
        <v/>
      </c>
      <c r="O125" s="31"/>
      <c r="P125" s="34" t="str">
        <f t="shared" si="7"/>
        <v/>
      </c>
      <c r="R125" t="s">
        <v>198</v>
      </c>
      <c r="S125" s="1" t="str">
        <f t="shared" si="9"/>
        <v/>
      </c>
      <c r="T125" s="1"/>
      <c r="U125" s="35" t="str">
        <f t="shared" si="8"/>
        <v/>
      </c>
    </row>
    <row r="126" spans="12:21" x14ac:dyDescent="0.25">
      <c r="L126" s="26">
        <v>123</v>
      </c>
      <c r="M126" t="s">
        <v>197</v>
      </c>
      <c r="N126" s="1" t="str">
        <f t="shared" si="6"/>
        <v/>
      </c>
      <c r="O126" s="31"/>
      <c r="P126" s="34" t="str">
        <f t="shared" si="7"/>
        <v/>
      </c>
      <c r="R126" t="s">
        <v>197</v>
      </c>
      <c r="S126" s="1" t="str">
        <f t="shared" si="9"/>
        <v/>
      </c>
      <c r="T126" s="1"/>
      <c r="U126" s="35" t="str">
        <f t="shared" si="8"/>
        <v/>
      </c>
    </row>
    <row r="127" spans="12:21" x14ac:dyDescent="0.25">
      <c r="L127" s="26">
        <v>124</v>
      </c>
      <c r="M127" t="s">
        <v>196</v>
      </c>
      <c r="N127" s="1" t="str">
        <f t="shared" si="6"/>
        <v/>
      </c>
      <c r="O127" s="31"/>
      <c r="P127" s="34" t="str">
        <f t="shared" si="7"/>
        <v/>
      </c>
      <c r="R127" t="s">
        <v>196</v>
      </c>
      <c r="S127" s="1" t="str">
        <f t="shared" si="9"/>
        <v/>
      </c>
      <c r="T127" s="1"/>
      <c r="U127" s="35" t="str">
        <f t="shared" si="8"/>
        <v/>
      </c>
    </row>
    <row r="128" spans="12:21" x14ac:dyDescent="0.25">
      <c r="L128" s="26">
        <v>125</v>
      </c>
      <c r="M128" t="s">
        <v>195</v>
      </c>
      <c r="N128" s="1" t="str">
        <f t="shared" si="6"/>
        <v/>
      </c>
      <c r="O128" s="31"/>
      <c r="P128" s="34" t="str">
        <f t="shared" si="7"/>
        <v/>
      </c>
      <c r="R128" t="s">
        <v>195</v>
      </c>
      <c r="S128" s="1" t="str">
        <f t="shared" si="9"/>
        <v/>
      </c>
      <c r="T128" s="1"/>
      <c r="U128" s="35" t="str">
        <f t="shared" si="8"/>
        <v/>
      </c>
    </row>
    <row r="129" spans="12:21" x14ac:dyDescent="0.25">
      <c r="L129" s="26">
        <v>126</v>
      </c>
      <c r="M129" t="s">
        <v>194</v>
      </c>
      <c r="N129" s="1" t="str">
        <f t="shared" si="6"/>
        <v/>
      </c>
      <c r="O129" s="31"/>
      <c r="P129" s="34" t="str">
        <f t="shared" si="7"/>
        <v/>
      </c>
      <c r="R129" t="s">
        <v>194</v>
      </c>
      <c r="S129" s="1" t="str">
        <f t="shared" si="9"/>
        <v/>
      </c>
      <c r="T129" s="1"/>
      <c r="U129" s="35" t="str">
        <f t="shared" si="8"/>
        <v/>
      </c>
    </row>
    <row r="130" spans="12:21" x14ac:dyDescent="0.25">
      <c r="L130" s="26">
        <v>127</v>
      </c>
      <c r="M130" t="s">
        <v>193</v>
      </c>
      <c r="N130" s="1" t="str">
        <f t="shared" si="6"/>
        <v/>
      </c>
      <c r="O130" s="31"/>
      <c r="P130" s="34" t="str">
        <f t="shared" si="7"/>
        <v/>
      </c>
      <c r="R130" t="s">
        <v>193</v>
      </c>
      <c r="S130" s="1" t="str">
        <f t="shared" si="9"/>
        <v/>
      </c>
      <c r="T130" s="1"/>
      <c r="U130" s="35" t="str">
        <f t="shared" si="8"/>
        <v/>
      </c>
    </row>
    <row r="131" spans="12:21" x14ac:dyDescent="0.25">
      <c r="L131" s="26">
        <v>128</v>
      </c>
      <c r="M131" t="s">
        <v>192</v>
      </c>
      <c r="N131" s="1" t="str">
        <f t="shared" si="6"/>
        <v/>
      </c>
      <c r="O131" s="31"/>
      <c r="P131" s="34" t="str">
        <f t="shared" si="7"/>
        <v/>
      </c>
      <c r="R131" t="s">
        <v>192</v>
      </c>
      <c r="S131" s="1" t="str">
        <f t="shared" si="9"/>
        <v/>
      </c>
      <c r="T131" s="1"/>
      <c r="U131" s="35" t="str">
        <f t="shared" si="8"/>
        <v/>
      </c>
    </row>
    <row r="132" spans="12:21" x14ac:dyDescent="0.25">
      <c r="L132" s="26">
        <v>129</v>
      </c>
      <c r="M132" t="s">
        <v>191</v>
      </c>
      <c r="N132" s="1" t="str">
        <f t="shared" si="6"/>
        <v/>
      </c>
      <c r="O132" s="31"/>
      <c r="P132" s="34" t="str">
        <f t="shared" si="7"/>
        <v/>
      </c>
      <c r="R132" t="s">
        <v>191</v>
      </c>
      <c r="S132" s="1" t="str">
        <f t="shared" si="9"/>
        <v/>
      </c>
      <c r="T132" s="1"/>
      <c r="U132" s="35" t="str">
        <f t="shared" si="8"/>
        <v/>
      </c>
    </row>
    <row r="133" spans="12:21" x14ac:dyDescent="0.25">
      <c r="L133" s="26">
        <v>130</v>
      </c>
      <c r="M133" t="s">
        <v>190</v>
      </c>
      <c r="N133" s="1" t="str">
        <f t="shared" ref="N133:N196" si="10">IF(L133&gt;$I$2,"",F133/$D$3-1)</f>
        <v/>
      </c>
      <c r="O133" s="31"/>
      <c r="P133" s="34" t="str">
        <f t="shared" ref="P133:P196" si="11">IF(AND(L133&lt;=$I$2,N133&lt;= -0.1),1,"")</f>
        <v/>
      </c>
      <c r="R133" t="s">
        <v>190</v>
      </c>
      <c r="S133" s="1" t="str">
        <f t="shared" si="9"/>
        <v/>
      </c>
      <c r="T133" s="1"/>
      <c r="U133" s="35" t="str">
        <f t="shared" ref="U133:U196" si="12">IF(AND(L133&lt;=$I$2,S133&gt;=0.2),1,"")</f>
        <v/>
      </c>
    </row>
    <row r="134" spans="12:21" x14ac:dyDescent="0.25">
      <c r="L134" s="26">
        <v>131</v>
      </c>
      <c r="M134" t="s">
        <v>189</v>
      </c>
      <c r="N134" s="1" t="str">
        <f t="shared" si="10"/>
        <v/>
      </c>
      <c r="O134" s="31"/>
      <c r="P134" s="34" t="str">
        <f t="shared" si="11"/>
        <v/>
      </c>
      <c r="R134" t="s">
        <v>189</v>
      </c>
      <c r="S134" s="1" t="str">
        <f t="shared" si="9"/>
        <v/>
      </c>
      <c r="T134" s="1"/>
      <c r="U134" s="35" t="str">
        <f t="shared" si="12"/>
        <v/>
      </c>
    </row>
    <row r="135" spans="12:21" x14ac:dyDescent="0.25">
      <c r="L135" s="26">
        <v>132</v>
      </c>
      <c r="M135" t="s">
        <v>188</v>
      </c>
      <c r="N135" s="1" t="str">
        <f t="shared" si="10"/>
        <v/>
      </c>
      <c r="O135" s="31"/>
      <c r="P135" s="34" t="str">
        <f t="shared" si="11"/>
        <v/>
      </c>
      <c r="R135" t="s">
        <v>188</v>
      </c>
      <c r="S135" s="1" t="str">
        <f t="shared" si="9"/>
        <v/>
      </c>
      <c r="T135" s="1"/>
      <c r="U135" s="35" t="str">
        <f t="shared" si="12"/>
        <v/>
      </c>
    </row>
    <row r="136" spans="12:21" x14ac:dyDescent="0.25">
      <c r="L136" s="26">
        <v>133</v>
      </c>
      <c r="M136" t="s">
        <v>187</v>
      </c>
      <c r="N136" s="1" t="str">
        <f t="shared" si="10"/>
        <v/>
      </c>
      <c r="O136" s="31"/>
      <c r="P136" s="34" t="str">
        <f t="shared" si="11"/>
        <v/>
      </c>
      <c r="R136" t="s">
        <v>187</v>
      </c>
      <c r="S136" s="1" t="str">
        <f t="shared" si="9"/>
        <v/>
      </c>
      <c r="T136" s="1"/>
      <c r="U136" s="35" t="str">
        <f t="shared" si="12"/>
        <v/>
      </c>
    </row>
    <row r="137" spans="12:21" x14ac:dyDescent="0.25">
      <c r="L137" s="26">
        <v>134</v>
      </c>
      <c r="M137" t="s">
        <v>186</v>
      </c>
      <c r="N137" s="1" t="str">
        <f t="shared" si="10"/>
        <v/>
      </c>
      <c r="O137" s="31"/>
      <c r="P137" s="34" t="str">
        <f t="shared" si="11"/>
        <v/>
      </c>
      <c r="R137" t="s">
        <v>186</v>
      </c>
      <c r="S137" s="1" t="str">
        <f t="shared" si="9"/>
        <v/>
      </c>
      <c r="T137" s="1"/>
      <c r="U137" s="35" t="str">
        <f t="shared" si="12"/>
        <v/>
      </c>
    </row>
    <row r="138" spans="12:21" x14ac:dyDescent="0.25">
      <c r="L138" s="26">
        <v>135</v>
      </c>
      <c r="M138" t="s">
        <v>185</v>
      </c>
      <c r="N138" s="1" t="str">
        <f t="shared" si="10"/>
        <v/>
      </c>
      <c r="O138" s="31"/>
      <c r="P138" s="34" t="str">
        <f t="shared" si="11"/>
        <v/>
      </c>
      <c r="R138" t="s">
        <v>185</v>
      </c>
      <c r="S138" s="1" t="str">
        <f t="shared" si="9"/>
        <v/>
      </c>
      <c r="T138" s="1"/>
      <c r="U138" s="35" t="str">
        <f t="shared" si="12"/>
        <v/>
      </c>
    </row>
    <row r="139" spans="12:21" x14ac:dyDescent="0.25">
      <c r="L139" s="26">
        <v>136</v>
      </c>
      <c r="M139" t="s">
        <v>184</v>
      </c>
      <c r="N139" s="1" t="str">
        <f t="shared" si="10"/>
        <v/>
      </c>
      <c r="O139" s="31"/>
      <c r="P139" s="34" t="str">
        <f t="shared" si="11"/>
        <v/>
      </c>
      <c r="R139" t="s">
        <v>184</v>
      </c>
      <c r="S139" s="1" t="str">
        <f t="shared" si="9"/>
        <v/>
      </c>
      <c r="T139" s="1"/>
      <c r="U139" s="35" t="str">
        <f t="shared" si="12"/>
        <v/>
      </c>
    </row>
    <row r="140" spans="12:21" x14ac:dyDescent="0.25">
      <c r="L140" s="26">
        <v>137</v>
      </c>
      <c r="M140" t="s">
        <v>183</v>
      </c>
      <c r="N140" s="1" t="str">
        <f t="shared" si="10"/>
        <v/>
      </c>
      <c r="O140" s="31"/>
      <c r="P140" s="34" t="str">
        <f t="shared" si="11"/>
        <v/>
      </c>
      <c r="R140" t="s">
        <v>183</v>
      </c>
      <c r="S140" s="1" t="str">
        <f t="shared" si="9"/>
        <v/>
      </c>
      <c r="T140" s="1"/>
      <c r="U140" s="35" t="str">
        <f t="shared" si="12"/>
        <v/>
      </c>
    </row>
    <row r="141" spans="12:21" x14ac:dyDescent="0.25">
      <c r="L141" s="26">
        <v>138</v>
      </c>
      <c r="M141" t="s">
        <v>182</v>
      </c>
      <c r="N141" s="1" t="str">
        <f t="shared" si="10"/>
        <v/>
      </c>
      <c r="O141" s="31"/>
      <c r="P141" s="34" t="str">
        <f t="shared" si="11"/>
        <v/>
      </c>
      <c r="R141" t="s">
        <v>182</v>
      </c>
      <c r="S141" s="1" t="str">
        <f t="shared" si="9"/>
        <v/>
      </c>
      <c r="T141" s="1"/>
      <c r="U141" s="35" t="str">
        <f t="shared" si="12"/>
        <v/>
      </c>
    </row>
    <row r="142" spans="12:21" x14ac:dyDescent="0.25">
      <c r="L142" s="26">
        <v>139</v>
      </c>
      <c r="M142" t="s">
        <v>181</v>
      </c>
      <c r="N142" s="1" t="str">
        <f t="shared" si="10"/>
        <v/>
      </c>
      <c r="O142" s="31"/>
      <c r="P142" s="34" t="str">
        <f t="shared" si="11"/>
        <v/>
      </c>
      <c r="R142" t="s">
        <v>181</v>
      </c>
      <c r="S142" s="1" t="str">
        <f t="shared" si="9"/>
        <v/>
      </c>
      <c r="T142" s="1"/>
      <c r="U142" s="35" t="str">
        <f t="shared" si="12"/>
        <v/>
      </c>
    </row>
    <row r="143" spans="12:21" x14ac:dyDescent="0.25">
      <c r="L143" s="26">
        <v>140</v>
      </c>
      <c r="M143" t="s">
        <v>180</v>
      </c>
      <c r="N143" s="1" t="str">
        <f t="shared" si="10"/>
        <v/>
      </c>
      <c r="O143" s="31"/>
      <c r="P143" s="34" t="str">
        <f t="shared" si="11"/>
        <v/>
      </c>
      <c r="R143" t="s">
        <v>180</v>
      </c>
      <c r="S143" s="1" t="str">
        <f t="shared" si="9"/>
        <v/>
      </c>
      <c r="T143" s="1"/>
      <c r="U143" s="35" t="str">
        <f t="shared" si="12"/>
        <v/>
      </c>
    </row>
    <row r="144" spans="12:21" x14ac:dyDescent="0.25">
      <c r="L144" s="26">
        <v>141</v>
      </c>
      <c r="M144" t="s">
        <v>179</v>
      </c>
      <c r="N144" s="1" t="str">
        <f t="shared" si="10"/>
        <v/>
      </c>
      <c r="O144" s="31"/>
      <c r="P144" s="34" t="str">
        <f t="shared" si="11"/>
        <v/>
      </c>
      <c r="R144" t="s">
        <v>179</v>
      </c>
      <c r="S144" s="1" t="str">
        <f t="shared" si="9"/>
        <v/>
      </c>
      <c r="T144" s="1"/>
      <c r="U144" s="35" t="str">
        <f t="shared" si="12"/>
        <v/>
      </c>
    </row>
    <row r="145" spans="12:21" x14ac:dyDescent="0.25">
      <c r="L145" s="26">
        <v>142</v>
      </c>
      <c r="M145" t="s">
        <v>178</v>
      </c>
      <c r="N145" s="1" t="str">
        <f t="shared" si="10"/>
        <v/>
      </c>
      <c r="O145" s="31"/>
      <c r="P145" s="34" t="str">
        <f t="shared" si="11"/>
        <v/>
      </c>
      <c r="R145" t="s">
        <v>178</v>
      </c>
      <c r="S145" s="1" t="str">
        <f t="shared" si="9"/>
        <v/>
      </c>
      <c r="T145" s="1"/>
      <c r="U145" s="35" t="str">
        <f t="shared" si="12"/>
        <v/>
      </c>
    </row>
    <row r="146" spans="12:21" x14ac:dyDescent="0.25">
      <c r="L146" s="26">
        <v>143</v>
      </c>
      <c r="M146" t="s">
        <v>177</v>
      </c>
      <c r="N146" s="1" t="str">
        <f t="shared" si="10"/>
        <v/>
      </c>
      <c r="O146" s="31"/>
      <c r="P146" s="34" t="str">
        <f t="shared" si="11"/>
        <v/>
      </c>
      <c r="R146" t="s">
        <v>177</v>
      </c>
      <c r="S146" s="1" t="str">
        <f t="shared" si="9"/>
        <v/>
      </c>
      <c r="T146" s="1"/>
      <c r="U146" s="35" t="str">
        <f t="shared" si="12"/>
        <v/>
      </c>
    </row>
    <row r="147" spans="12:21" x14ac:dyDescent="0.25">
      <c r="L147" s="26">
        <v>144</v>
      </c>
      <c r="M147" t="s">
        <v>176</v>
      </c>
      <c r="N147" s="1" t="str">
        <f t="shared" si="10"/>
        <v/>
      </c>
      <c r="O147" s="31"/>
      <c r="P147" s="34" t="str">
        <f t="shared" si="11"/>
        <v/>
      </c>
      <c r="R147" t="s">
        <v>176</v>
      </c>
      <c r="S147" s="1" t="str">
        <f t="shared" si="9"/>
        <v/>
      </c>
      <c r="T147" s="1"/>
      <c r="U147" s="35" t="str">
        <f t="shared" si="12"/>
        <v/>
      </c>
    </row>
    <row r="148" spans="12:21" x14ac:dyDescent="0.25">
      <c r="L148" s="26">
        <v>145</v>
      </c>
      <c r="M148" t="s">
        <v>175</v>
      </c>
      <c r="N148" s="1" t="str">
        <f t="shared" si="10"/>
        <v/>
      </c>
      <c r="O148" s="31"/>
      <c r="P148" s="34" t="str">
        <f t="shared" si="11"/>
        <v/>
      </c>
      <c r="R148" t="s">
        <v>175</v>
      </c>
      <c r="S148" s="1" t="str">
        <f t="shared" si="9"/>
        <v/>
      </c>
      <c r="T148" s="1"/>
      <c r="U148" s="35" t="str">
        <f t="shared" si="12"/>
        <v/>
      </c>
    </row>
    <row r="149" spans="12:21" x14ac:dyDescent="0.25">
      <c r="L149" s="26">
        <v>146</v>
      </c>
      <c r="M149" t="s">
        <v>174</v>
      </c>
      <c r="N149" s="1" t="str">
        <f t="shared" si="10"/>
        <v/>
      </c>
      <c r="O149" s="31"/>
      <c r="P149" s="34" t="str">
        <f t="shared" si="11"/>
        <v/>
      </c>
      <c r="R149" t="s">
        <v>174</v>
      </c>
      <c r="S149" s="1" t="str">
        <f t="shared" si="9"/>
        <v/>
      </c>
      <c r="T149" s="1"/>
      <c r="U149" s="35" t="str">
        <f t="shared" si="12"/>
        <v/>
      </c>
    </row>
    <row r="150" spans="12:21" x14ac:dyDescent="0.25">
      <c r="L150" s="26">
        <v>147</v>
      </c>
      <c r="M150" t="s">
        <v>173</v>
      </c>
      <c r="N150" s="1" t="str">
        <f t="shared" si="10"/>
        <v/>
      </c>
      <c r="O150" s="31"/>
      <c r="P150" s="34" t="str">
        <f t="shared" si="11"/>
        <v/>
      </c>
      <c r="R150" t="s">
        <v>173</v>
      </c>
      <c r="S150" s="1" t="str">
        <f t="shared" si="9"/>
        <v/>
      </c>
      <c r="T150" s="1"/>
      <c r="U150" s="35" t="str">
        <f t="shared" si="12"/>
        <v/>
      </c>
    </row>
    <row r="151" spans="12:21" x14ac:dyDescent="0.25">
      <c r="L151" s="26">
        <v>148</v>
      </c>
      <c r="M151" t="s">
        <v>172</v>
      </c>
      <c r="N151" s="1" t="str">
        <f t="shared" si="10"/>
        <v/>
      </c>
      <c r="O151" s="31"/>
      <c r="P151" s="34" t="str">
        <f t="shared" si="11"/>
        <v/>
      </c>
      <c r="R151" t="s">
        <v>172</v>
      </c>
      <c r="S151" s="1" t="str">
        <f t="shared" si="9"/>
        <v/>
      </c>
      <c r="T151" s="1"/>
      <c r="U151" s="35" t="str">
        <f t="shared" si="12"/>
        <v/>
      </c>
    </row>
    <row r="152" spans="12:21" x14ac:dyDescent="0.25">
      <c r="L152" s="26">
        <v>149</v>
      </c>
      <c r="M152" t="s">
        <v>171</v>
      </c>
      <c r="N152" s="1" t="str">
        <f t="shared" si="10"/>
        <v/>
      </c>
      <c r="O152" s="31"/>
      <c r="P152" s="34" t="str">
        <f t="shared" si="11"/>
        <v/>
      </c>
      <c r="R152" t="s">
        <v>171</v>
      </c>
      <c r="S152" s="1" t="str">
        <f t="shared" ref="S152:S215" si="13">IF(L152&gt;$I$2,"",E152/$D$3-1)</f>
        <v/>
      </c>
      <c r="T152" s="1"/>
      <c r="U152" s="35" t="str">
        <f t="shared" si="12"/>
        <v/>
      </c>
    </row>
    <row r="153" spans="12:21" x14ac:dyDescent="0.25">
      <c r="L153" s="26">
        <v>150</v>
      </c>
      <c r="M153" t="s">
        <v>170</v>
      </c>
      <c r="N153" s="1" t="str">
        <f t="shared" si="10"/>
        <v/>
      </c>
      <c r="O153" s="31"/>
      <c r="P153" s="34" t="str">
        <f t="shared" si="11"/>
        <v/>
      </c>
      <c r="R153" t="s">
        <v>170</v>
      </c>
      <c r="S153" s="1" t="str">
        <f t="shared" si="13"/>
        <v/>
      </c>
      <c r="T153" s="1"/>
      <c r="U153" s="35" t="str">
        <f t="shared" si="12"/>
        <v/>
      </c>
    </row>
    <row r="154" spans="12:21" x14ac:dyDescent="0.25">
      <c r="L154" s="26">
        <v>151</v>
      </c>
      <c r="M154" t="s">
        <v>169</v>
      </c>
      <c r="N154" s="1" t="str">
        <f t="shared" si="10"/>
        <v/>
      </c>
      <c r="O154" s="31"/>
      <c r="P154" s="34" t="str">
        <f t="shared" si="11"/>
        <v/>
      </c>
      <c r="R154" t="s">
        <v>169</v>
      </c>
      <c r="S154" s="1" t="str">
        <f t="shared" si="13"/>
        <v/>
      </c>
      <c r="T154" s="1"/>
      <c r="U154" s="35" t="str">
        <f t="shared" si="12"/>
        <v/>
      </c>
    </row>
    <row r="155" spans="12:21" x14ac:dyDescent="0.25">
      <c r="L155" s="26">
        <v>152</v>
      </c>
      <c r="M155" t="s">
        <v>168</v>
      </c>
      <c r="N155" s="1" t="str">
        <f t="shared" si="10"/>
        <v/>
      </c>
      <c r="O155" s="31"/>
      <c r="P155" s="34" t="str">
        <f t="shared" si="11"/>
        <v/>
      </c>
      <c r="R155" t="s">
        <v>168</v>
      </c>
      <c r="S155" s="1" t="str">
        <f t="shared" si="13"/>
        <v/>
      </c>
      <c r="T155" s="1"/>
      <c r="U155" s="35" t="str">
        <f t="shared" si="12"/>
        <v/>
      </c>
    </row>
    <row r="156" spans="12:21" x14ac:dyDescent="0.25">
      <c r="L156" s="26">
        <v>153</v>
      </c>
      <c r="M156" t="s">
        <v>167</v>
      </c>
      <c r="N156" s="1" t="str">
        <f t="shared" si="10"/>
        <v/>
      </c>
      <c r="O156" s="31"/>
      <c r="P156" s="34" t="str">
        <f t="shared" si="11"/>
        <v/>
      </c>
      <c r="R156" t="s">
        <v>167</v>
      </c>
      <c r="S156" s="1" t="str">
        <f t="shared" si="13"/>
        <v/>
      </c>
      <c r="T156" s="1"/>
      <c r="U156" s="35" t="str">
        <f t="shared" si="12"/>
        <v/>
      </c>
    </row>
    <row r="157" spans="12:21" x14ac:dyDescent="0.25">
      <c r="L157" s="26">
        <v>154</v>
      </c>
      <c r="M157" t="s">
        <v>166</v>
      </c>
      <c r="N157" s="1" t="str">
        <f t="shared" si="10"/>
        <v/>
      </c>
      <c r="O157" s="31"/>
      <c r="P157" s="34" t="str">
        <f t="shared" si="11"/>
        <v/>
      </c>
      <c r="R157" t="s">
        <v>166</v>
      </c>
      <c r="S157" s="1" t="str">
        <f t="shared" si="13"/>
        <v/>
      </c>
      <c r="T157" s="1"/>
      <c r="U157" s="35" t="str">
        <f t="shared" si="12"/>
        <v/>
      </c>
    </row>
    <row r="158" spans="12:21" x14ac:dyDescent="0.25">
      <c r="L158" s="26">
        <v>155</v>
      </c>
      <c r="M158" t="s">
        <v>165</v>
      </c>
      <c r="N158" s="1" t="str">
        <f t="shared" si="10"/>
        <v/>
      </c>
      <c r="O158" s="31"/>
      <c r="P158" s="34" t="str">
        <f t="shared" si="11"/>
        <v/>
      </c>
      <c r="R158" t="s">
        <v>165</v>
      </c>
      <c r="S158" s="1" t="str">
        <f t="shared" si="13"/>
        <v/>
      </c>
      <c r="T158" s="1"/>
      <c r="U158" s="35" t="str">
        <f t="shared" si="12"/>
        <v/>
      </c>
    </row>
    <row r="159" spans="12:21" x14ac:dyDescent="0.25">
      <c r="L159" s="26">
        <v>156</v>
      </c>
      <c r="M159" t="s">
        <v>164</v>
      </c>
      <c r="N159" s="1" t="str">
        <f t="shared" si="10"/>
        <v/>
      </c>
      <c r="O159" s="31"/>
      <c r="P159" s="34" t="str">
        <f t="shared" si="11"/>
        <v/>
      </c>
      <c r="R159" t="s">
        <v>164</v>
      </c>
      <c r="S159" s="1" t="str">
        <f t="shared" si="13"/>
        <v/>
      </c>
      <c r="T159" s="1"/>
      <c r="U159" s="35" t="str">
        <f t="shared" si="12"/>
        <v/>
      </c>
    </row>
    <row r="160" spans="12:21" x14ac:dyDescent="0.25">
      <c r="L160" s="26">
        <v>157</v>
      </c>
      <c r="M160" t="s">
        <v>163</v>
      </c>
      <c r="N160" s="1" t="str">
        <f t="shared" si="10"/>
        <v/>
      </c>
      <c r="O160" s="31"/>
      <c r="P160" s="34" t="str">
        <f t="shared" si="11"/>
        <v/>
      </c>
      <c r="R160" t="s">
        <v>163</v>
      </c>
      <c r="S160" s="1" t="str">
        <f t="shared" si="13"/>
        <v/>
      </c>
      <c r="T160" s="1"/>
      <c r="U160" s="35" t="str">
        <f t="shared" si="12"/>
        <v/>
      </c>
    </row>
    <row r="161" spans="12:21" x14ac:dyDescent="0.25">
      <c r="L161" s="26">
        <v>158</v>
      </c>
      <c r="M161" t="s">
        <v>162</v>
      </c>
      <c r="N161" s="1" t="str">
        <f t="shared" si="10"/>
        <v/>
      </c>
      <c r="O161" s="31"/>
      <c r="P161" s="34" t="str">
        <f t="shared" si="11"/>
        <v/>
      </c>
      <c r="R161" t="s">
        <v>162</v>
      </c>
      <c r="S161" s="1" t="str">
        <f t="shared" si="13"/>
        <v/>
      </c>
      <c r="T161" s="1"/>
      <c r="U161" s="35" t="str">
        <f t="shared" si="12"/>
        <v/>
      </c>
    </row>
    <row r="162" spans="12:21" x14ac:dyDescent="0.25">
      <c r="L162" s="26">
        <v>159</v>
      </c>
      <c r="M162" t="s">
        <v>161</v>
      </c>
      <c r="N162" s="1" t="str">
        <f t="shared" si="10"/>
        <v/>
      </c>
      <c r="O162" s="31"/>
      <c r="P162" s="34" t="str">
        <f t="shared" si="11"/>
        <v/>
      </c>
      <c r="R162" t="s">
        <v>161</v>
      </c>
      <c r="S162" s="1" t="str">
        <f t="shared" si="13"/>
        <v/>
      </c>
      <c r="T162" s="1"/>
      <c r="U162" s="35" t="str">
        <f t="shared" si="12"/>
        <v/>
      </c>
    </row>
    <row r="163" spans="12:21" x14ac:dyDescent="0.25">
      <c r="L163" s="26">
        <v>160</v>
      </c>
      <c r="M163" t="s">
        <v>160</v>
      </c>
      <c r="N163" s="1" t="str">
        <f t="shared" si="10"/>
        <v/>
      </c>
      <c r="O163" s="31"/>
      <c r="P163" s="34" t="str">
        <f t="shared" si="11"/>
        <v/>
      </c>
      <c r="R163" t="s">
        <v>160</v>
      </c>
      <c r="S163" s="1" t="str">
        <f t="shared" si="13"/>
        <v/>
      </c>
      <c r="T163" s="1"/>
      <c r="U163" s="35" t="str">
        <f t="shared" si="12"/>
        <v/>
      </c>
    </row>
    <row r="164" spans="12:21" x14ac:dyDescent="0.25">
      <c r="L164" s="26">
        <v>161</v>
      </c>
      <c r="M164" t="s">
        <v>159</v>
      </c>
      <c r="N164" s="1" t="str">
        <f t="shared" si="10"/>
        <v/>
      </c>
      <c r="O164" s="31"/>
      <c r="P164" s="34" t="str">
        <f t="shared" si="11"/>
        <v/>
      </c>
      <c r="R164" t="s">
        <v>159</v>
      </c>
      <c r="S164" s="1" t="str">
        <f t="shared" si="13"/>
        <v/>
      </c>
      <c r="T164" s="1"/>
      <c r="U164" s="35" t="str">
        <f t="shared" si="12"/>
        <v/>
      </c>
    </row>
    <row r="165" spans="12:21" x14ac:dyDescent="0.25">
      <c r="L165" s="26">
        <v>162</v>
      </c>
      <c r="M165" t="s">
        <v>158</v>
      </c>
      <c r="N165" s="1" t="str">
        <f t="shared" si="10"/>
        <v/>
      </c>
      <c r="O165" s="31"/>
      <c r="P165" s="34" t="str">
        <f t="shared" si="11"/>
        <v/>
      </c>
      <c r="R165" t="s">
        <v>158</v>
      </c>
      <c r="S165" s="1" t="str">
        <f t="shared" si="13"/>
        <v/>
      </c>
      <c r="T165" s="1"/>
      <c r="U165" s="35" t="str">
        <f t="shared" si="12"/>
        <v/>
      </c>
    </row>
    <row r="166" spans="12:21" x14ac:dyDescent="0.25">
      <c r="L166" s="26">
        <v>163</v>
      </c>
      <c r="M166" t="s">
        <v>157</v>
      </c>
      <c r="N166" s="1" t="str">
        <f t="shared" si="10"/>
        <v/>
      </c>
      <c r="O166" s="31"/>
      <c r="P166" s="34" t="str">
        <f t="shared" si="11"/>
        <v/>
      </c>
      <c r="R166" t="s">
        <v>157</v>
      </c>
      <c r="S166" s="1" t="str">
        <f t="shared" si="13"/>
        <v/>
      </c>
      <c r="T166" s="1"/>
      <c r="U166" s="35" t="str">
        <f t="shared" si="12"/>
        <v/>
      </c>
    </row>
    <row r="167" spans="12:21" x14ac:dyDescent="0.25">
      <c r="L167" s="26">
        <v>164</v>
      </c>
      <c r="M167" t="s">
        <v>156</v>
      </c>
      <c r="N167" s="1" t="str">
        <f t="shared" si="10"/>
        <v/>
      </c>
      <c r="O167" s="31"/>
      <c r="P167" s="34" t="str">
        <f t="shared" si="11"/>
        <v/>
      </c>
      <c r="R167" t="s">
        <v>156</v>
      </c>
      <c r="S167" s="1" t="str">
        <f t="shared" si="13"/>
        <v/>
      </c>
      <c r="T167" s="1"/>
      <c r="U167" s="35" t="str">
        <f t="shared" si="12"/>
        <v/>
      </c>
    </row>
    <row r="168" spans="12:21" x14ac:dyDescent="0.25">
      <c r="L168" s="26">
        <v>165</v>
      </c>
      <c r="M168" t="s">
        <v>155</v>
      </c>
      <c r="N168" s="1" t="str">
        <f t="shared" si="10"/>
        <v/>
      </c>
      <c r="O168" s="31"/>
      <c r="P168" s="34" t="str">
        <f t="shared" si="11"/>
        <v/>
      </c>
      <c r="R168" t="s">
        <v>155</v>
      </c>
      <c r="S168" s="1" t="str">
        <f t="shared" si="13"/>
        <v/>
      </c>
      <c r="T168" s="1"/>
      <c r="U168" s="35" t="str">
        <f t="shared" si="12"/>
        <v/>
      </c>
    </row>
    <row r="169" spans="12:21" x14ac:dyDescent="0.25">
      <c r="L169" s="26">
        <v>166</v>
      </c>
      <c r="M169" t="s">
        <v>154</v>
      </c>
      <c r="N169" s="1" t="str">
        <f t="shared" si="10"/>
        <v/>
      </c>
      <c r="O169" s="31"/>
      <c r="P169" s="34" t="str">
        <f t="shared" si="11"/>
        <v/>
      </c>
      <c r="R169" t="s">
        <v>154</v>
      </c>
      <c r="S169" s="1" t="str">
        <f t="shared" si="13"/>
        <v/>
      </c>
      <c r="T169" s="1"/>
      <c r="U169" s="35" t="str">
        <f t="shared" si="12"/>
        <v/>
      </c>
    </row>
    <row r="170" spans="12:21" x14ac:dyDescent="0.25">
      <c r="L170" s="26">
        <v>167</v>
      </c>
      <c r="M170" t="s">
        <v>153</v>
      </c>
      <c r="N170" s="1" t="str">
        <f t="shared" si="10"/>
        <v/>
      </c>
      <c r="O170" s="31"/>
      <c r="P170" s="34" t="str">
        <f t="shared" si="11"/>
        <v/>
      </c>
      <c r="R170" t="s">
        <v>153</v>
      </c>
      <c r="S170" s="1" t="str">
        <f t="shared" si="13"/>
        <v/>
      </c>
      <c r="T170" s="1"/>
      <c r="U170" s="35" t="str">
        <f t="shared" si="12"/>
        <v/>
      </c>
    </row>
    <row r="171" spans="12:21" x14ac:dyDescent="0.25">
      <c r="L171" s="26">
        <v>168</v>
      </c>
      <c r="M171" t="s">
        <v>152</v>
      </c>
      <c r="N171" s="1" t="str">
        <f t="shared" si="10"/>
        <v/>
      </c>
      <c r="O171" s="31"/>
      <c r="P171" s="34" t="str">
        <f t="shared" si="11"/>
        <v/>
      </c>
      <c r="R171" t="s">
        <v>152</v>
      </c>
      <c r="S171" s="1" t="str">
        <f t="shared" si="13"/>
        <v/>
      </c>
      <c r="T171" s="1"/>
      <c r="U171" s="35" t="str">
        <f t="shared" si="12"/>
        <v/>
      </c>
    </row>
    <row r="172" spans="12:21" x14ac:dyDescent="0.25">
      <c r="L172" s="26">
        <v>169</v>
      </c>
      <c r="M172" t="s">
        <v>151</v>
      </c>
      <c r="N172" s="1" t="str">
        <f t="shared" si="10"/>
        <v/>
      </c>
      <c r="O172" s="31"/>
      <c r="P172" s="34" t="str">
        <f t="shared" si="11"/>
        <v/>
      </c>
      <c r="R172" t="s">
        <v>151</v>
      </c>
      <c r="S172" s="1" t="str">
        <f t="shared" si="13"/>
        <v/>
      </c>
      <c r="T172" s="1"/>
      <c r="U172" s="35" t="str">
        <f t="shared" si="12"/>
        <v/>
      </c>
    </row>
    <row r="173" spans="12:21" x14ac:dyDescent="0.25">
      <c r="L173" s="26">
        <v>170</v>
      </c>
      <c r="M173" t="s">
        <v>150</v>
      </c>
      <c r="N173" s="1" t="str">
        <f t="shared" si="10"/>
        <v/>
      </c>
      <c r="O173" s="31"/>
      <c r="P173" s="34" t="str">
        <f t="shared" si="11"/>
        <v/>
      </c>
      <c r="R173" t="s">
        <v>150</v>
      </c>
      <c r="S173" s="1" t="str">
        <f t="shared" si="13"/>
        <v/>
      </c>
      <c r="T173" s="1"/>
      <c r="U173" s="35" t="str">
        <f t="shared" si="12"/>
        <v/>
      </c>
    </row>
    <row r="174" spans="12:21" x14ac:dyDescent="0.25">
      <c r="L174" s="26">
        <v>171</v>
      </c>
      <c r="M174" t="s">
        <v>149</v>
      </c>
      <c r="N174" s="1" t="str">
        <f t="shared" si="10"/>
        <v/>
      </c>
      <c r="O174" s="31"/>
      <c r="P174" s="34" t="str">
        <f t="shared" si="11"/>
        <v/>
      </c>
      <c r="R174" t="s">
        <v>149</v>
      </c>
      <c r="S174" s="1" t="str">
        <f t="shared" si="13"/>
        <v/>
      </c>
      <c r="T174" s="1"/>
      <c r="U174" s="35" t="str">
        <f t="shared" si="12"/>
        <v/>
      </c>
    </row>
    <row r="175" spans="12:21" x14ac:dyDescent="0.25">
      <c r="L175" s="26">
        <v>172</v>
      </c>
      <c r="M175" t="s">
        <v>148</v>
      </c>
      <c r="N175" s="1" t="str">
        <f t="shared" si="10"/>
        <v/>
      </c>
      <c r="O175" s="31"/>
      <c r="P175" s="34" t="str">
        <f t="shared" si="11"/>
        <v/>
      </c>
      <c r="R175" t="s">
        <v>148</v>
      </c>
      <c r="S175" s="1" t="str">
        <f t="shared" si="13"/>
        <v/>
      </c>
      <c r="T175" s="1"/>
      <c r="U175" s="35" t="str">
        <f t="shared" si="12"/>
        <v/>
      </c>
    </row>
    <row r="176" spans="12:21" x14ac:dyDescent="0.25">
      <c r="L176" s="26">
        <v>173</v>
      </c>
      <c r="M176" t="s">
        <v>147</v>
      </c>
      <c r="N176" s="1" t="str">
        <f t="shared" si="10"/>
        <v/>
      </c>
      <c r="O176" s="31"/>
      <c r="P176" s="34" t="str">
        <f t="shared" si="11"/>
        <v/>
      </c>
      <c r="R176" t="s">
        <v>147</v>
      </c>
      <c r="S176" s="1" t="str">
        <f t="shared" si="13"/>
        <v/>
      </c>
      <c r="T176" s="1"/>
      <c r="U176" s="35" t="str">
        <f t="shared" si="12"/>
        <v/>
      </c>
    </row>
    <row r="177" spans="12:21" x14ac:dyDescent="0.25">
      <c r="L177" s="26">
        <v>174</v>
      </c>
      <c r="M177" t="s">
        <v>146</v>
      </c>
      <c r="N177" s="1" t="str">
        <f t="shared" si="10"/>
        <v/>
      </c>
      <c r="O177" s="31"/>
      <c r="P177" s="34" t="str">
        <f t="shared" si="11"/>
        <v/>
      </c>
      <c r="R177" t="s">
        <v>146</v>
      </c>
      <c r="S177" s="1" t="str">
        <f t="shared" si="13"/>
        <v/>
      </c>
      <c r="T177" s="1"/>
      <c r="U177" s="35" t="str">
        <f t="shared" si="12"/>
        <v/>
      </c>
    </row>
    <row r="178" spans="12:21" x14ac:dyDescent="0.25">
      <c r="L178" s="26">
        <v>175</v>
      </c>
      <c r="M178" t="s">
        <v>145</v>
      </c>
      <c r="N178" s="1" t="str">
        <f t="shared" si="10"/>
        <v/>
      </c>
      <c r="O178" s="31"/>
      <c r="P178" s="34" t="str">
        <f t="shared" si="11"/>
        <v/>
      </c>
      <c r="R178" t="s">
        <v>145</v>
      </c>
      <c r="S178" s="1" t="str">
        <f t="shared" si="13"/>
        <v/>
      </c>
      <c r="T178" s="1"/>
      <c r="U178" s="35" t="str">
        <f t="shared" si="12"/>
        <v/>
      </c>
    </row>
    <row r="179" spans="12:21" x14ac:dyDescent="0.25">
      <c r="L179" s="26">
        <v>176</v>
      </c>
      <c r="M179" t="s">
        <v>144</v>
      </c>
      <c r="N179" s="1" t="str">
        <f t="shared" si="10"/>
        <v/>
      </c>
      <c r="O179" s="31"/>
      <c r="P179" s="34" t="str">
        <f t="shared" si="11"/>
        <v/>
      </c>
      <c r="R179" t="s">
        <v>144</v>
      </c>
      <c r="S179" s="1" t="str">
        <f t="shared" si="13"/>
        <v/>
      </c>
      <c r="T179" s="1"/>
      <c r="U179" s="35" t="str">
        <f t="shared" si="12"/>
        <v/>
      </c>
    </row>
    <row r="180" spans="12:21" x14ac:dyDescent="0.25">
      <c r="L180" s="26">
        <v>177</v>
      </c>
      <c r="M180" t="s">
        <v>143</v>
      </c>
      <c r="N180" s="1" t="str">
        <f t="shared" si="10"/>
        <v/>
      </c>
      <c r="O180" s="31"/>
      <c r="P180" s="34" t="str">
        <f t="shared" si="11"/>
        <v/>
      </c>
      <c r="R180" t="s">
        <v>143</v>
      </c>
      <c r="S180" s="1" t="str">
        <f t="shared" si="13"/>
        <v/>
      </c>
      <c r="T180" s="1"/>
      <c r="U180" s="35" t="str">
        <f t="shared" si="12"/>
        <v/>
      </c>
    </row>
    <row r="181" spans="12:21" x14ac:dyDescent="0.25">
      <c r="L181" s="26">
        <v>178</v>
      </c>
      <c r="M181" t="s">
        <v>142</v>
      </c>
      <c r="N181" s="1" t="str">
        <f t="shared" si="10"/>
        <v/>
      </c>
      <c r="O181" s="31"/>
      <c r="P181" s="34" t="str">
        <f t="shared" si="11"/>
        <v/>
      </c>
      <c r="R181" t="s">
        <v>142</v>
      </c>
      <c r="S181" s="1" t="str">
        <f t="shared" si="13"/>
        <v/>
      </c>
      <c r="T181" s="1"/>
      <c r="U181" s="35" t="str">
        <f t="shared" si="12"/>
        <v/>
      </c>
    </row>
    <row r="182" spans="12:21" x14ac:dyDescent="0.25">
      <c r="L182" s="26">
        <v>179</v>
      </c>
      <c r="M182" t="s">
        <v>141</v>
      </c>
      <c r="N182" s="1" t="str">
        <f t="shared" si="10"/>
        <v/>
      </c>
      <c r="O182" s="31"/>
      <c r="P182" s="34" t="str">
        <f t="shared" si="11"/>
        <v/>
      </c>
      <c r="R182" t="s">
        <v>141</v>
      </c>
      <c r="S182" s="1" t="str">
        <f t="shared" si="13"/>
        <v/>
      </c>
      <c r="T182" s="1"/>
      <c r="U182" s="35" t="str">
        <f t="shared" si="12"/>
        <v/>
      </c>
    </row>
    <row r="183" spans="12:21" x14ac:dyDescent="0.25">
      <c r="L183" s="26">
        <v>180</v>
      </c>
      <c r="M183" t="s">
        <v>140</v>
      </c>
      <c r="N183" s="1" t="str">
        <f t="shared" si="10"/>
        <v/>
      </c>
      <c r="O183" s="31"/>
      <c r="P183" s="34" t="str">
        <f t="shared" si="11"/>
        <v/>
      </c>
      <c r="R183" t="s">
        <v>140</v>
      </c>
      <c r="S183" s="1" t="str">
        <f t="shared" si="13"/>
        <v/>
      </c>
      <c r="T183" s="1"/>
      <c r="U183" s="35" t="str">
        <f t="shared" si="12"/>
        <v/>
      </c>
    </row>
    <row r="184" spans="12:21" x14ac:dyDescent="0.25">
      <c r="L184" s="26">
        <v>181</v>
      </c>
      <c r="M184" t="s">
        <v>139</v>
      </c>
      <c r="N184" s="1" t="str">
        <f t="shared" si="10"/>
        <v/>
      </c>
      <c r="O184" s="31"/>
      <c r="P184" s="34" t="str">
        <f t="shared" si="11"/>
        <v/>
      </c>
      <c r="R184" t="s">
        <v>139</v>
      </c>
      <c r="S184" s="1" t="str">
        <f t="shared" si="13"/>
        <v/>
      </c>
      <c r="T184" s="1"/>
      <c r="U184" s="35" t="str">
        <f t="shared" si="12"/>
        <v/>
      </c>
    </row>
    <row r="185" spans="12:21" x14ac:dyDescent="0.25">
      <c r="L185" s="26">
        <v>182</v>
      </c>
      <c r="M185" t="s">
        <v>138</v>
      </c>
      <c r="N185" s="1" t="str">
        <f t="shared" si="10"/>
        <v/>
      </c>
      <c r="O185" s="31"/>
      <c r="P185" s="34" t="str">
        <f t="shared" si="11"/>
        <v/>
      </c>
      <c r="R185" t="s">
        <v>138</v>
      </c>
      <c r="S185" s="1" t="str">
        <f t="shared" si="13"/>
        <v/>
      </c>
      <c r="T185" s="1"/>
      <c r="U185" s="35" t="str">
        <f t="shared" si="12"/>
        <v/>
      </c>
    </row>
    <row r="186" spans="12:21" x14ac:dyDescent="0.25">
      <c r="L186" s="26">
        <v>183</v>
      </c>
      <c r="M186" t="s">
        <v>137</v>
      </c>
      <c r="N186" s="1" t="str">
        <f t="shared" si="10"/>
        <v/>
      </c>
      <c r="O186" s="31"/>
      <c r="P186" s="34" t="str">
        <f t="shared" si="11"/>
        <v/>
      </c>
      <c r="R186" t="s">
        <v>137</v>
      </c>
      <c r="S186" s="1" t="str">
        <f t="shared" si="13"/>
        <v/>
      </c>
      <c r="T186" s="1"/>
      <c r="U186" s="35" t="str">
        <f t="shared" si="12"/>
        <v/>
      </c>
    </row>
    <row r="187" spans="12:21" x14ac:dyDescent="0.25">
      <c r="L187" s="26">
        <v>184</v>
      </c>
      <c r="M187" t="s">
        <v>136</v>
      </c>
      <c r="N187" s="1" t="str">
        <f t="shared" si="10"/>
        <v/>
      </c>
      <c r="O187" s="31"/>
      <c r="P187" s="34" t="str">
        <f t="shared" si="11"/>
        <v/>
      </c>
      <c r="R187" t="s">
        <v>136</v>
      </c>
      <c r="S187" s="1" t="str">
        <f t="shared" si="13"/>
        <v/>
      </c>
      <c r="T187" s="1"/>
      <c r="U187" s="35" t="str">
        <f t="shared" si="12"/>
        <v/>
      </c>
    </row>
    <row r="188" spans="12:21" x14ac:dyDescent="0.25">
      <c r="L188" s="26">
        <v>185</v>
      </c>
      <c r="M188" t="s">
        <v>135</v>
      </c>
      <c r="N188" s="1" t="str">
        <f t="shared" si="10"/>
        <v/>
      </c>
      <c r="O188" s="31"/>
      <c r="P188" s="34" t="str">
        <f t="shared" si="11"/>
        <v/>
      </c>
      <c r="R188" t="s">
        <v>135</v>
      </c>
      <c r="S188" s="1" t="str">
        <f t="shared" si="13"/>
        <v/>
      </c>
      <c r="T188" s="1"/>
      <c r="U188" s="35" t="str">
        <f t="shared" si="12"/>
        <v/>
      </c>
    </row>
    <row r="189" spans="12:21" x14ac:dyDescent="0.25">
      <c r="L189" s="26">
        <v>186</v>
      </c>
      <c r="M189" t="s">
        <v>134</v>
      </c>
      <c r="N189" s="1" t="str">
        <f t="shared" si="10"/>
        <v/>
      </c>
      <c r="O189" s="31"/>
      <c r="P189" s="34" t="str">
        <f t="shared" si="11"/>
        <v/>
      </c>
      <c r="R189" t="s">
        <v>134</v>
      </c>
      <c r="S189" s="1" t="str">
        <f t="shared" si="13"/>
        <v/>
      </c>
      <c r="T189" s="1"/>
      <c r="U189" s="35" t="str">
        <f t="shared" si="12"/>
        <v/>
      </c>
    </row>
    <row r="190" spans="12:21" x14ac:dyDescent="0.25">
      <c r="L190" s="26">
        <v>187</v>
      </c>
      <c r="M190" t="s">
        <v>133</v>
      </c>
      <c r="N190" s="1" t="str">
        <f t="shared" si="10"/>
        <v/>
      </c>
      <c r="O190" s="31"/>
      <c r="P190" s="34" t="str">
        <f t="shared" si="11"/>
        <v/>
      </c>
      <c r="R190" t="s">
        <v>133</v>
      </c>
      <c r="S190" s="1" t="str">
        <f t="shared" si="13"/>
        <v/>
      </c>
      <c r="T190" s="1"/>
      <c r="U190" s="35" t="str">
        <f t="shared" si="12"/>
        <v/>
      </c>
    </row>
    <row r="191" spans="12:21" x14ac:dyDescent="0.25">
      <c r="L191" s="26">
        <v>188</v>
      </c>
      <c r="M191" t="s">
        <v>132</v>
      </c>
      <c r="N191" s="1" t="str">
        <f t="shared" si="10"/>
        <v/>
      </c>
      <c r="O191" s="31"/>
      <c r="P191" s="34" t="str">
        <f t="shared" si="11"/>
        <v/>
      </c>
      <c r="R191" t="s">
        <v>132</v>
      </c>
      <c r="S191" s="1" t="str">
        <f t="shared" si="13"/>
        <v/>
      </c>
      <c r="T191" s="1"/>
      <c r="U191" s="35" t="str">
        <f t="shared" si="12"/>
        <v/>
      </c>
    </row>
    <row r="192" spans="12:21" x14ac:dyDescent="0.25">
      <c r="L192" s="26">
        <v>189</v>
      </c>
      <c r="M192" t="s">
        <v>131</v>
      </c>
      <c r="N192" s="1" t="str">
        <f t="shared" si="10"/>
        <v/>
      </c>
      <c r="O192" s="31"/>
      <c r="P192" s="34" t="str">
        <f t="shared" si="11"/>
        <v/>
      </c>
      <c r="R192" t="s">
        <v>131</v>
      </c>
      <c r="S192" s="1" t="str">
        <f t="shared" si="13"/>
        <v/>
      </c>
      <c r="T192" s="1"/>
      <c r="U192" s="35" t="str">
        <f t="shared" si="12"/>
        <v/>
      </c>
    </row>
    <row r="193" spans="12:21" x14ac:dyDescent="0.25">
      <c r="L193" s="26">
        <v>190</v>
      </c>
      <c r="M193" t="s">
        <v>130</v>
      </c>
      <c r="N193" s="1" t="str">
        <f t="shared" si="10"/>
        <v/>
      </c>
      <c r="O193" s="31"/>
      <c r="P193" s="34" t="str">
        <f t="shared" si="11"/>
        <v/>
      </c>
      <c r="R193" t="s">
        <v>130</v>
      </c>
      <c r="S193" s="1" t="str">
        <f t="shared" si="13"/>
        <v/>
      </c>
      <c r="T193" s="1"/>
      <c r="U193" s="35" t="str">
        <f t="shared" si="12"/>
        <v/>
      </c>
    </row>
    <row r="194" spans="12:21" x14ac:dyDescent="0.25">
      <c r="L194" s="26">
        <v>191</v>
      </c>
      <c r="M194" t="s">
        <v>129</v>
      </c>
      <c r="N194" s="1" t="str">
        <f t="shared" si="10"/>
        <v/>
      </c>
      <c r="O194" s="31"/>
      <c r="P194" s="34" t="str">
        <f t="shared" si="11"/>
        <v/>
      </c>
      <c r="R194" t="s">
        <v>129</v>
      </c>
      <c r="S194" s="1" t="str">
        <f t="shared" si="13"/>
        <v/>
      </c>
      <c r="T194" s="1"/>
      <c r="U194" s="35" t="str">
        <f t="shared" si="12"/>
        <v/>
      </c>
    </row>
    <row r="195" spans="12:21" x14ac:dyDescent="0.25">
      <c r="L195" s="26">
        <v>192</v>
      </c>
      <c r="M195" t="s">
        <v>128</v>
      </c>
      <c r="N195" s="1" t="str">
        <f t="shared" si="10"/>
        <v/>
      </c>
      <c r="O195" s="31"/>
      <c r="P195" s="34" t="str">
        <f t="shared" si="11"/>
        <v/>
      </c>
      <c r="R195" t="s">
        <v>128</v>
      </c>
      <c r="S195" s="1" t="str">
        <f t="shared" si="13"/>
        <v/>
      </c>
      <c r="T195" s="1"/>
      <c r="U195" s="35" t="str">
        <f t="shared" si="12"/>
        <v/>
      </c>
    </row>
    <row r="196" spans="12:21" x14ac:dyDescent="0.25">
      <c r="L196" s="26">
        <v>193</v>
      </c>
      <c r="M196" t="s">
        <v>127</v>
      </c>
      <c r="N196" s="1" t="str">
        <f t="shared" si="10"/>
        <v/>
      </c>
      <c r="O196" s="31"/>
      <c r="P196" s="34" t="str">
        <f t="shared" si="11"/>
        <v/>
      </c>
      <c r="R196" t="s">
        <v>127</v>
      </c>
      <c r="S196" s="1" t="str">
        <f t="shared" si="13"/>
        <v/>
      </c>
      <c r="T196" s="1"/>
      <c r="U196" s="35" t="str">
        <f t="shared" si="12"/>
        <v/>
      </c>
    </row>
    <row r="197" spans="12:21" x14ac:dyDescent="0.25">
      <c r="L197" s="26">
        <v>194</v>
      </c>
      <c r="M197" t="s">
        <v>126</v>
      </c>
      <c r="N197" s="1" t="str">
        <f t="shared" ref="N197:N252" si="14">IF(L197&gt;$I$2,"",F197/$D$3-1)</f>
        <v/>
      </c>
      <c r="O197" s="31"/>
      <c r="P197" s="34" t="str">
        <f t="shared" ref="P197:P253" si="15">IF(AND(L197&lt;=$I$2,N197&lt;= -0.1),1,"")</f>
        <v/>
      </c>
      <c r="R197" t="s">
        <v>126</v>
      </c>
      <c r="S197" s="1" t="str">
        <f t="shared" si="13"/>
        <v/>
      </c>
      <c r="T197" s="1"/>
      <c r="U197" s="35" t="str">
        <f t="shared" ref="U197:U253" si="16">IF(AND(L197&lt;=$I$2,S197&gt;=0.2),1,"")</f>
        <v/>
      </c>
    </row>
    <row r="198" spans="12:21" x14ac:dyDescent="0.25">
      <c r="L198" s="26">
        <v>195</v>
      </c>
      <c r="M198" t="s">
        <v>125</v>
      </c>
      <c r="N198" s="1" t="str">
        <f t="shared" si="14"/>
        <v/>
      </c>
      <c r="O198" s="31"/>
      <c r="P198" s="34" t="str">
        <f t="shared" si="15"/>
        <v/>
      </c>
      <c r="R198" t="s">
        <v>125</v>
      </c>
      <c r="S198" s="1" t="str">
        <f t="shared" si="13"/>
        <v/>
      </c>
      <c r="T198" s="1"/>
      <c r="U198" s="35" t="str">
        <f t="shared" si="16"/>
        <v/>
      </c>
    </row>
    <row r="199" spans="12:21" x14ac:dyDescent="0.25">
      <c r="L199" s="26">
        <v>196</v>
      </c>
      <c r="M199" t="s">
        <v>124</v>
      </c>
      <c r="N199" s="1" t="str">
        <f t="shared" si="14"/>
        <v/>
      </c>
      <c r="O199" s="31"/>
      <c r="P199" s="34" t="str">
        <f t="shared" si="15"/>
        <v/>
      </c>
      <c r="R199" t="s">
        <v>124</v>
      </c>
      <c r="S199" s="1" t="str">
        <f t="shared" si="13"/>
        <v/>
      </c>
      <c r="T199" s="1"/>
      <c r="U199" s="35" t="str">
        <f t="shared" si="16"/>
        <v/>
      </c>
    </row>
    <row r="200" spans="12:21" x14ac:dyDescent="0.25">
      <c r="L200" s="26">
        <v>197</v>
      </c>
      <c r="M200" t="s">
        <v>123</v>
      </c>
      <c r="N200" s="1" t="str">
        <f t="shared" si="14"/>
        <v/>
      </c>
      <c r="O200" s="31"/>
      <c r="P200" s="34" t="str">
        <f t="shared" si="15"/>
        <v/>
      </c>
      <c r="R200" t="s">
        <v>123</v>
      </c>
      <c r="S200" s="1" t="str">
        <f t="shared" si="13"/>
        <v/>
      </c>
      <c r="T200" s="1"/>
      <c r="U200" s="35" t="str">
        <f t="shared" si="16"/>
        <v/>
      </c>
    </row>
    <row r="201" spans="12:21" x14ac:dyDescent="0.25">
      <c r="L201" s="26">
        <v>198</v>
      </c>
      <c r="M201" t="s">
        <v>122</v>
      </c>
      <c r="N201" s="1" t="str">
        <f t="shared" si="14"/>
        <v/>
      </c>
      <c r="O201" s="31"/>
      <c r="P201" s="34" t="str">
        <f t="shared" si="15"/>
        <v/>
      </c>
      <c r="R201" t="s">
        <v>122</v>
      </c>
      <c r="S201" s="1" t="str">
        <f t="shared" si="13"/>
        <v/>
      </c>
      <c r="T201" s="1"/>
      <c r="U201" s="35" t="str">
        <f t="shared" si="16"/>
        <v/>
      </c>
    </row>
    <row r="202" spans="12:21" x14ac:dyDescent="0.25">
      <c r="L202" s="26">
        <v>199</v>
      </c>
      <c r="M202" t="s">
        <v>121</v>
      </c>
      <c r="N202" s="1" t="str">
        <f t="shared" si="14"/>
        <v/>
      </c>
      <c r="O202" s="31"/>
      <c r="P202" s="34" t="str">
        <f t="shared" si="15"/>
        <v/>
      </c>
      <c r="R202" t="s">
        <v>121</v>
      </c>
      <c r="S202" s="1" t="str">
        <f t="shared" si="13"/>
        <v/>
      </c>
      <c r="T202" s="1"/>
      <c r="U202" s="35" t="str">
        <f t="shared" si="16"/>
        <v/>
      </c>
    </row>
    <row r="203" spans="12:21" x14ac:dyDescent="0.25">
      <c r="L203" s="26">
        <v>200</v>
      </c>
      <c r="M203" t="s">
        <v>120</v>
      </c>
      <c r="N203" s="1" t="str">
        <f t="shared" si="14"/>
        <v/>
      </c>
      <c r="O203" s="31"/>
      <c r="P203" s="34" t="str">
        <f t="shared" si="15"/>
        <v/>
      </c>
      <c r="R203" t="s">
        <v>120</v>
      </c>
      <c r="S203" s="1" t="str">
        <f t="shared" si="13"/>
        <v/>
      </c>
      <c r="T203" s="1"/>
      <c r="U203" s="35" t="str">
        <f t="shared" si="16"/>
        <v/>
      </c>
    </row>
    <row r="204" spans="12:21" x14ac:dyDescent="0.25">
      <c r="L204" s="26">
        <v>201</v>
      </c>
      <c r="M204" t="s">
        <v>119</v>
      </c>
      <c r="N204" s="1" t="str">
        <f t="shared" si="14"/>
        <v/>
      </c>
      <c r="O204" s="31"/>
      <c r="P204" s="34" t="str">
        <f t="shared" si="15"/>
        <v/>
      </c>
      <c r="R204" t="s">
        <v>119</v>
      </c>
      <c r="S204" s="1" t="str">
        <f t="shared" si="13"/>
        <v/>
      </c>
      <c r="T204" s="1"/>
      <c r="U204" s="35" t="str">
        <f t="shared" si="16"/>
        <v/>
      </c>
    </row>
    <row r="205" spans="12:21" x14ac:dyDescent="0.25">
      <c r="L205" s="26">
        <v>202</v>
      </c>
      <c r="M205" t="s">
        <v>118</v>
      </c>
      <c r="N205" s="1" t="str">
        <f t="shared" si="14"/>
        <v/>
      </c>
      <c r="O205" s="31"/>
      <c r="P205" s="34" t="str">
        <f t="shared" si="15"/>
        <v/>
      </c>
      <c r="R205" t="s">
        <v>118</v>
      </c>
      <c r="S205" s="1" t="str">
        <f t="shared" si="13"/>
        <v/>
      </c>
      <c r="T205" s="1"/>
      <c r="U205" s="35" t="str">
        <f t="shared" si="16"/>
        <v/>
      </c>
    </row>
    <row r="206" spans="12:21" x14ac:dyDescent="0.25">
      <c r="L206" s="26">
        <v>203</v>
      </c>
      <c r="M206" t="s">
        <v>117</v>
      </c>
      <c r="N206" s="1" t="str">
        <f t="shared" si="14"/>
        <v/>
      </c>
      <c r="O206" s="31"/>
      <c r="P206" s="34" t="str">
        <f t="shared" si="15"/>
        <v/>
      </c>
      <c r="R206" t="s">
        <v>117</v>
      </c>
      <c r="S206" s="1" t="str">
        <f t="shared" si="13"/>
        <v/>
      </c>
      <c r="T206" s="1"/>
      <c r="U206" s="35" t="str">
        <f t="shared" si="16"/>
        <v/>
      </c>
    </row>
    <row r="207" spans="12:21" x14ac:dyDescent="0.25">
      <c r="L207" s="26">
        <v>204</v>
      </c>
      <c r="M207" t="s">
        <v>116</v>
      </c>
      <c r="N207" s="1" t="str">
        <f t="shared" si="14"/>
        <v/>
      </c>
      <c r="O207" s="31"/>
      <c r="P207" s="34" t="str">
        <f t="shared" si="15"/>
        <v/>
      </c>
      <c r="R207" t="s">
        <v>116</v>
      </c>
      <c r="S207" s="1" t="str">
        <f t="shared" si="13"/>
        <v/>
      </c>
      <c r="T207" s="1"/>
      <c r="U207" s="35" t="str">
        <f t="shared" si="16"/>
        <v/>
      </c>
    </row>
    <row r="208" spans="12:21" x14ac:dyDescent="0.25">
      <c r="L208" s="26">
        <v>205</v>
      </c>
      <c r="M208" t="s">
        <v>115</v>
      </c>
      <c r="N208" s="1" t="str">
        <f t="shared" si="14"/>
        <v/>
      </c>
      <c r="O208" s="31"/>
      <c r="P208" s="34" t="str">
        <f t="shared" si="15"/>
        <v/>
      </c>
      <c r="R208" t="s">
        <v>115</v>
      </c>
      <c r="S208" s="1" t="str">
        <f t="shared" si="13"/>
        <v/>
      </c>
      <c r="T208" s="1"/>
      <c r="U208" s="35" t="str">
        <f t="shared" si="16"/>
        <v/>
      </c>
    </row>
    <row r="209" spans="12:21" x14ac:dyDescent="0.25">
      <c r="L209" s="26">
        <v>206</v>
      </c>
      <c r="M209" t="s">
        <v>114</v>
      </c>
      <c r="N209" s="1" t="str">
        <f t="shared" si="14"/>
        <v/>
      </c>
      <c r="O209" s="31"/>
      <c r="P209" s="34" t="str">
        <f t="shared" si="15"/>
        <v/>
      </c>
      <c r="R209" t="s">
        <v>114</v>
      </c>
      <c r="S209" s="1" t="str">
        <f t="shared" si="13"/>
        <v/>
      </c>
      <c r="T209" s="1"/>
      <c r="U209" s="35" t="str">
        <f t="shared" si="16"/>
        <v/>
      </c>
    </row>
    <row r="210" spans="12:21" x14ac:dyDescent="0.25">
      <c r="L210" s="26">
        <v>207</v>
      </c>
      <c r="M210" t="s">
        <v>113</v>
      </c>
      <c r="N210" s="1" t="str">
        <f t="shared" si="14"/>
        <v/>
      </c>
      <c r="O210" s="31"/>
      <c r="P210" s="34" t="str">
        <f t="shared" si="15"/>
        <v/>
      </c>
      <c r="R210" t="s">
        <v>113</v>
      </c>
      <c r="S210" s="1" t="str">
        <f t="shared" si="13"/>
        <v/>
      </c>
      <c r="T210" s="1"/>
      <c r="U210" s="35" t="str">
        <f t="shared" si="16"/>
        <v/>
      </c>
    </row>
    <row r="211" spans="12:21" x14ac:dyDescent="0.25">
      <c r="L211" s="26">
        <v>208</v>
      </c>
      <c r="M211" t="s">
        <v>112</v>
      </c>
      <c r="N211" s="1" t="str">
        <f t="shared" si="14"/>
        <v/>
      </c>
      <c r="O211" s="31"/>
      <c r="P211" s="34" t="str">
        <f t="shared" si="15"/>
        <v/>
      </c>
      <c r="R211" t="s">
        <v>112</v>
      </c>
      <c r="S211" s="1" t="str">
        <f t="shared" si="13"/>
        <v/>
      </c>
      <c r="T211" s="1"/>
      <c r="U211" s="35" t="str">
        <f t="shared" si="16"/>
        <v/>
      </c>
    </row>
    <row r="212" spans="12:21" x14ac:dyDescent="0.25">
      <c r="L212" s="26">
        <v>209</v>
      </c>
      <c r="M212" t="s">
        <v>111</v>
      </c>
      <c r="N212" s="1" t="str">
        <f t="shared" si="14"/>
        <v/>
      </c>
      <c r="O212" s="31"/>
      <c r="P212" s="34" t="str">
        <f t="shared" si="15"/>
        <v/>
      </c>
      <c r="R212" t="s">
        <v>111</v>
      </c>
      <c r="S212" s="1" t="str">
        <f t="shared" si="13"/>
        <v/>
      </c>
      <c r="T212" s="1"/>
      <c r="U212" s="35" t="str">
        <f t="shared" si="16"/>
        <v/>
      </c>
    </row>
    <row r="213" spans="12:21" x14ac:dyDescent="0.25">
      <c r="L213" s="26">
        <v>210</v>
      </c>
      <c r="M213" t="s">
        <v>110</v>
      </c>
      <c r="N213" s="1" t="str">
        <f t="shared" si="14"/>
        <v/>
      </c>
      <c r="O213" s="31"/>
      <c r="P213" s="34" t="str">
        <f t="shared" si="15"/>
        <v/>
      </c>
      <c r="R213" t="s">
        <v>110</v>
      </c>
      <c r="S213" s="1" t="str">
        <f t="shared" si="13"/>
        <v/>
      </c>
      <c r="T213" s="1"/>
      <c r="U213" s="35" t="str">
        <f t="shared" si="16"/>
        <v/>
      </c>
    </row>
    <row r="214" spans="12:21" x14ac:dyDescent="0.25">
      <c r="L214" s="26">
        <v>211</v>
      </c>
      <c r="M214" t="s">
        <v>109</v>
      </c>
      <c r="N214" s="1" t="str">
        <f t="shared" si="14"/>
        <v/>
      </c>
      <c r="O214" s="31"/>
      <c r="P214" s="34" t="str">
        <f t="shared" si="15"/>
        <v/>
      </c>
      <c r="R214" t="s">
        <v>109</v>
      </c>
      <c r="S214" s="1" t="str">
        <f t="shared" si="13"/>
        <v/>
      </c>
      <c r="T214" s="1"/>
      <c r="U214" s="35" t="str">
        <f t="shared" si="16"/>
        <v/>
      </c>
    </row>
    <row r="215" spans="12:21" x14ac:dyDescent="0.25">
      <c r="L215" s="26">
        <v>212</v>
      </c>
      <c r="M215" t="s">
        <v>108</v>
      </c>
      <c r="N215" s="1" t="str">
        <f t="shared" si="14"/>
        <v/>
      </c>
      <c r="O215" s="31"/>
      <c r="P215" s="34" t="str">
        <f t="shared" si="15"/>
        <v/>
      </c>
      <c r="R215" t="s">
        <v>108</v>
      </c>
      <c r="S215" s="1" t="str">
        <f t="shared" si="13"/>
        <v/>
      </c>
      <c r="T215" s="1"/>
      <c r="U215" s="35" t="str">
        <f t="shared" si="16"/>
        <v/>
      </c>
    </row>
    <row r="216" spans="12:21" x14ac:dyDescent="0.25">
      <c r="L216" s="26">
        <v>213</v>
      </c>
      <c r="M216" t="s">
        <v>107</v>
      </c>
      <c r="N216" s="1" t="str">
        <f t="shared" si="14"/>
        <v/>
      </c>
      <c r="O216" s="31"/>
      <c r="P216" s="34" t="str">
        <f t="shared" si="15"/>
        <v/>
      </c>
      <c r="R216" t="s">
        <v>107</v>
      </c>
      <c r="S216" s="1" t="str">
        <f t="shared" ref="S216:S252" si="17">IF(L216&gt;$I$2,"",E216/$D$3-1)</f>
        <v/>
      </c>
      <c r="T216" s="1"/>
      <c r="U216" s="35" t="str">
        <f t="shared" si="16"/>
        <v/>
      </c>
    </row>
    <row r="217" spans="12:21" x14ac:dyDescent="0.25">
      <c r="L217" s="26">
        <v>214</v>
      </c>
      <c r="M217" t="s">
        <v>106</v>
      </c>
      <c r="N217" s="1" t="str">
        <f t="shared" si="14"/>
        <v/>
      </c>
      <c r="O217" s="31"/>
      <c r="P217" s="34" t="str">
        <f t="shared" si="15"/>
        <v/>
      </c>
      <c r="R217" t="s">
        <v>106</v>
      </c>
      <c r="S217" s="1" t="str">
        <f t="shared" si="17"/>
        <v/>
      </c>
      <c r="T217" s="1"/>
      <c r="U217" s="35" t="str">
        <f t="shared" si="16"/>
        <v/>
      </c>
    </row>
    <row r="218" spans="12:21" x14ac:dyDescent="0.25">
      <c r="L218" s="26">
        <v>215</v>
      </c>
      <c r="M218" t="s">
        <v>105</v>
      </c>
      <c r="N218" s="1" t="str">
        <f t="shared" si="14"/>
        <v/>
      </c>
      <c r="O218" s="31"/>
      <c r="P218" s="34" t="str">
        <f t="shared" si="15"/>
        <v/>
      </c>
      <c r="R218" t="s">
        <v>105</v>
      </c>
      <c r="S218" s="1" t="str">
        <f t="shared" si="17"/>
        <v/>
      </c>
      <c r="T218" s="1"/>
      <c r="U218" s="35" t="str">
        <f t="shared" si="16"/>
        <v/>
      </c>
    </row>
    <row r="219" spans="12:21" x14ac:dyDescent="0.25">
      <c r="L219" s="26">
        <v>216</v>
      </c>
      <c r="M219" t="s">
        <v>104</v>
      </c>
      <c r="N219" s="1" t="str">
        <f t="shared" si="14"/>
        <v/>
      </c>
      <c r="O219" s="31"/>
      <c r="P219" s="34" t="str">
        <f t="shared" si="15"/>
        <v/>
      </c>
      <c r="R219" t="s">
        <v>104</v>
      </c>
      <c r="S219" s="1" t="str">
        <f t="shared" si="17"/>
        <v/>
      </c>
      <c r="T219" s="1"/>
      <c r="U219" s="35" t="str">
        <f t="shared" si="16"/>
        <v/>
      </c>
    </row>
    <row r="220" spans="12:21" x14ac:dyDescent="0.25">
      <c r="L220" s="26">
        <v>217</v>
      </c>
      <c r="M220" t="s">
        <v>103</v>
      </c>
      <c r="N220" s="1" t="str">
        <f t="shared" si="14"/>
        <v/>
      </c>
      <c r="O220" s="31"/>
      <c r="P220" s="34" t="str">
        <f t="shared" si="15"/>
        <v/>
      </c>
      <c r="R220" t="s">
        <v>103</v>
      </c>
      <c r="S220" s="1" t="str">
        <f t="shared" si="17"/>
        <v/>
      </c>
      <c r="T220" s="1"/>
      <c r="U220" s="35" t="str">
        <f t="shared" si="16"/>
        <v/>
      </c>
    </row>
    <row r="221" spans="12:21" x14ac:dyDescent="0.25">
      <c r="L221" s="26">
        <v>218</v>
      </c>
      <c r="M221" t="s">
        <v>102</v>
      </c>
      <c r="N221" s="1" t="str">
        <f t="shared" si="14"/>
        <v/>
      </c>
      <c r="O221" s="31"/>
      <c r="P221" s="34" t="str">
        <f t="shared" si="15"/>
        <v/>
      </c>
      <c r="R221" t="s">
        <v>102</v>
      </c>
      <c r="S221" s="1" t="str">
        <f t="shared" si="17"/>
        <v/>
      </c>
      <c r="T221" s="1"/>
      <c r="U221" s="35" t="str">
        <f t="shared" si="16"/>
        <v/>
      </c>
    </row>
    <row r="222" spans="12:21" x14ac:dyDescent="0.25">
      <c r="L222" s="26">
        <v>219</v>
      </c>
      <c r="M222" t="s">
        <v>101</v>
      </c>
      <c r="N222" s="1" t="str">
        <f t="shared" si="14"/>
        <v/>
      </c>
      <c r="O222" s="31"/>
      <c r="P222" s="34" t="str">
        <f t="shared" si="15"/>
        <v/>
      </c>
      <c r="R222" t="s">
        <v>101</v>
      </c>
      <c r="S222" s="1" t="str">
        <f t="shared" si="17"/>
        <v/>
      </c>
      <c r="T222" s="1"/>
      <c r="U222" s="35" t="str">
        <f t="shared" si="16"/>
        <v/>
      </c>
    </row>
    <row r="223" spans="12:21" x14ac:dyDescent="0.25">
      <c r="L223" s="26">
        <v>220</v>
      </c>
      <c r="M223" t="s">
        <v>100</v>
      </c>
      <c r="N223" s="1" t="str">
        <f t="shared" si="14"/>
        <v/>
      </c>
      <c r="O223" s="31"/>
      <c r="P223" s="34" t="str">
        <f t="shared" si="15"/>
        <v/>
      </c>
      <c r="R223" t="s">
        <v>100</v>
      </c>
      <c r="S223" s="1" t="str">
        <f t="shared" si="17"/>
        <v/>
      </c>
      <c r="T223" s="1"/>
      <c r="U223" s="35" t="str">
        <f t="shared" si="16"/>
        <v/>
      </c>
    </row>
    <row r="224" spans="12:21" x14ac:dyDescent="0.25">
      <c r="L224" s="26">
        <v>221</v>
      </c>
      <c r="M224" t="s">
        <v>99</v>
      </c>
      <c r="N224" s="1" t="str">
        <f t="shared" si="14"/>
        <v/>
      </c>
      <c r="O224" s="31"/>
      <c r="P224" s="34" t="str">
        <f t="shared" si="15"/>
        <v/>
      </c>
      <c r="R224" t="s">
        <v>99</v>
      </c>
      <c r="S224" s="1" t="str">
        <f t="shared" si="17"/>
        <v/>
      </c>
      <c r="T224" s="1"/>
      <c r="U224" s="35" t="str">
        <f t="shared" si="16"/>
        <v/>
      </c>
    </row>
    <row r="225" spans="12:21" x14ac:dyDescent="0.25">
      <c r="L225" s="26">
        <v>222</v>
      </c>
      <c r="M225" t="s">
        <v>98</v>
      </c>
      <c r="N225" s="1" t="str">
        <f t="shared" si="14"/>
        <v/>
      </c>
      <c r="O225" s="31"/>
      <c r="P225" s="34" t="str">
        <f t="shared" si="15"/>
        <v/>
      </c>
      <c r="R225" t="s">
        <v>98</v>
      </c>
      <c r="S225" s="1" t="str">
        <f t="shared" si="17"/>
        <v/>
      </c>
      <c r="T225" s="1"/>
      <c r="U225" s="35" t="str">
        <f t="shared" si="16"/>
        <v/>
      </c>
    </row>
    <row r="226" spans="12:21" x14ac:dyDescent="0.25">
      <c r="L226" s="26">
        <v>223</v>
      </c>
      <c r="M226" t="s">
        <v>97</v>
      </c>
      <c r="N226" s="1" t="str">
        <f t="shared" si="14"/>
        <v/>
      </c>
      <c r="O226" s="31"/>
      <c r="P226" s="34" t="str">
        <f t="shared" si="15"/>
        <v/>
      </c>
      <c r="R226" t="s">
        <v>97</v>
      </c>
      <c r="S226" s="1" t="str">
        <f t="shared" si="17"/>
        <v/>
      </c>
      <c r="T226" s="1"/>
      <c r="U226" s="35" t="str">
        <f t="shared" si="16"/>
        <v/>
      </c>
    </row>
    <row r="227" spans="12:21" x14ac:dyDescent="0.25">
      <c r="L227" s="26">
        <v>224</v>
      </c>
      <c r="M227" t="s">
        <v>96</v>
      </c>
      <c r="N227" s="1" t="str">
        <f t="shared" si="14"/>
        <v/>
      </c>
      <c r="O227" s="31"/>
      <c r="P227" s="34" t="str">
        <f t="shared" si="15"/>
        <v/>
      </c>
      <c r="R227" t="s">
        <v>96</v>
      </c>
      <c r="S227" s="1" t="str">
        <f t="shared" si="17"/>
        <v/>
      </c>
      <c r="T227" s="1"/>
      <c r="U227" s="35" t="str">
        <f t="shared" si="16"/>
        <v/>
      </c>
    </row>
    <row r="228" spans="12:21" x14ac:dyDescent="0.25">
      <c r="L228" s="26">
        <v>225</v>
      </c>
      <c r="M228" t="s">
        <v>95</v>
      </c>
      <c r="N228" s="1" t="str">
        <f t="shared" si="14"/>
        <v/>
      </c>
      <c r="O228" s="31"/>
      <c r="P228" s="34" t="str">
        <f t="shared" si="15"/>
        <v/>
      </c>
      <c r="R228" t="s">
        <v>95</v>
      </c>
      <c r="S228" s="1" t="str">
        <f t="shared" si="17"/>
        <v/>
      </c>
      <c r="T228" s="1"/>
      <c r="U228" s="35" t="str">
        <f t="shared" si="16"/>
        <v/>
      </c>
    </row>
    <row r="229" spans="12:21" x14ac:dyDescent="0.25">
      <c r="L229" s="26">
        <v>226</v>
      </c>
      <c r="M229" t="s">
        <v>94</v>
      </c>
      <c r="N229" s="1" t="str">
        <f t="shared" si="14"/>
        <v/>
      </c>
      <c r="O229" s="31"/>
      <c r="P229" s="34" t="str">
        <f t="shared" si="15"/>
        <v/>
      </c>
      <c r="R229" t="s">
        <v>94</v>
      </c>
      <c r="S229" s="1" t="str">
        <f t="shared" si="17"/>
        <v/>
      </c>
      <c r="T229" s="1"/>
      <c r="U229" s="35" t="str">
        <f t="shared" si="16"/>
        <v/>
      </c>
    </row>
    <row r="230" spans="12:21" x14ac:dyDescent="0.25">
      <c r="L230" s="26">
        <v>227</v>
      </c>
      <c r="M230" t="s">
        <v>93</v>
      </c>
      <c r="N230" s="1" t="str">
        <f t="shared" si="14"/>
        <v/>
      </c>
      <c r="O230" s="31"/>
      <c r="P230" s="34" t="str">
        <f t="shared" si="15"/>
        <v/>
      </c>
      <c r="R230" t="s">
        <v>93</v>
      </c>
      <c r="S230" s="1" t="str">
        <f t="shared" si="17"/>
        <v/>
      </c>
      <c r="T230" s="1"/>
      <c r="U230" s="35" t="str">
        <f t="shared" si="16"/>
        <v/>
      </c>
    </row>
    <row r="231" spans="12:21" x14ac:dyDescent="0.25">
      <c r="L231" s="26">
        <v>228</v>
      </c>
      <c r="M231" t="s">
        <v>92</v>
      </c>
      <c r="N231" s="1" t="str">
        <f t="shared" si="14"/>
        <v/>
      </c>
      <c r="O231" s="31"/>
      <c r="P231" s="34" t="str">
        <f t="shared" si="15"/>
        <v/>
      </c>
      <c r="R231" t="s">
        <v>92</v>
      </c>
      <c r="S231" s="1" t="str">
        <f t="shared" si="17"/>
        <v/>
      </c>
      <c r="T231" s="1"/>
      <c r="U231" s="35" t="str">
        <f t="shared" si="16"/>
        <v/>
      </c>
    </row>
    <row r="232" spans="12:21" x14ac:dyDescent="0.25">
      <c r="L232" s="26">
        <v>229</v>
      </c>
      <c r="M232" t="s">
        <v>91</v>
      </c>
      <c r="N232" s="1" t="str">
        <f t="shared" si="14"/>
        <v/>
      </c>
      <c r="O232" s="31"/>
      <c r="P232" s="34" t="str">
        <f t="shared" si="15"/>
        <v/>
      </c>
      <c r="R232" t="s">
        <v>91</v>
      </c>
      <c r="S232" s="1" t="str">
        <f t="shared" si="17"/>
        <v/>
      </c>
      <c r="T232" s="1"/>
      <c r="U232" s="35" t="str">
        <f t="shared" si="16"/>
        <v/>
      </c>
    </row>
    <row r="233" spans="12:21" x14ac:dyDescent="0.25">
      <c r="L233" s="26">
        <v>230</v>
      </c>
      <c r="M233" t="s">
        <v>90</v>
      </c>
      <c r="N233" s="1" t="str">
        <f t="shared" si="14"/>
        <v/>
      </c>
      <c r="O233" s="31"/>
      <c r="P233" s="34" t="str">
        <f t="shared" si="15"/>
        <v/>
      </c>
      <c r="R233" t="s">
        <v>90</v>
      </c>
      <c r="S233" s="1" t="str">
        <f t="shared" si="17"/>
        <v/>
      </c>
      <c r="T233" s="1"/>
      <c r="U233" s="35" t="str">
        <f t="shared" si="16"/>
        <v/>
      </c>
    </row>
    <row r="234" spans="12:21" x14ac:dyDescent="0.25">
      <c r="L234" s="26">
        <v>231</v>
      </c>
      <c r="M234" t="s">
        <v>89</v>
      </c>
      <c r="N234" s="1" t="str">
        <f t="shared" si="14"/>
        <v/>
      </c>
      <c r="O234" s="31"/>
      <c r="P234" s="34" t="str">
        <f t="shared" si="15"/>
        <v/>
      </c>
      <c r="R234" t="s">
        <v>89</v>
      </c>
      <c r="S234" s="1" t="str">
        <f t="shared" si="17"/>
        <v/>
      </c>
      <c r="T234" s="1"/>
      <c r="U234" s="35" t="str">
        <f t="shared" si="16"/>
        <v/>
      </c>
    </row>
    <row r="235" spans="12:21" x14ac:dyDescent="0.25">
      <c r="L235" s="26">
        <v>232</v>
      </c>
      <c r="M235" t="s">
        <v>88</v>
      </c>
      <c r="N235" s="1" t="str">
        <f t="shared" si="14"/>
        <v/>
      </c>
      <c r="O235" s="31"/>
      <c r="P235" s="34" t="str">
        <f t="shared" si="15"/>
        <v/>
      </c>
      <c r="R235" t="s">
        <v>88</v>
      </c>
      <c r="S235" s="1" t="str">
        <f t="shared" si="17"/>
        <v/>
      </c>
      <c r="T235" s="1"/>
      <c r="U235" s="35" t="str">
        <f t="shared" si="16"/>
        <v/>
      </c>
    </row>
    <row r="236" spans="12:21" x14ac:dyDescent="0.25">
      <c r="L236" s="26">
        <v>233</v>
      </c>
      <c r="M236" t="s">
        <v>87</v>
      </c>
      <c r="N236" s="1" t="str">
        <f t="shared" si="14"/>
        <v/>
      </c>
      <c r="O236" s="31"/>
      <c r="P236" s="34" t="str">
        <f t="shared" si="15"/>
        <v/>
      </c>
      <c r="R236" t="s">
        <v>87</v>
      </c>
      <c r="S236" s="1" t="str">
        <f t="shared" si="17"/>
        <v/>
      </c>
      <c r="T236" s="1"/>
      <c r="U236" s="35" t="str">
        <f t="shared" si="16"/>
        <v/>
      </c>
    </row>
    <row r="237" spans="12:21" x14ac:dyDescent="0.25">
      <c r="L237" s="26">
        <v>234</v>
      </c>
      <c r="M237" t="s">
        <v>86</v>
      </c>
      <c r="N237" s="1" t="str">
        <f t="shared" si="14"/>
        <v/>
      </c>
      <c r="O237" s="31"/>
      <c r="P237" s="34" t="str">
        <f t="shared" si="15"/>
        <v/>
      </c>
      <c r="R237" t="s">
        <v>86</v>
      </c>
      <c r="S237" s="1" t="str">
        <f t="shared" si="17"/>
        <v/>
      </c>
      <c r="T237" s="1"/>
      <c r="U237" s="35" t="str">
        <f t="shared" si="16"/>
        <v/>
      </c>
    </row>
    <row r="238" spans="12:21" x14ac:dyDescent="0.25">
      <c r="L238" s="26">
        <v>235</v>
      </c>
      <c r="M238" t="s">
        <v>85</v>
      </c>
      <c r="N238" s="1" t="str">
        <f t="shared" si="14"/>
        <v/>
      </c>
      <c r="O238" s="31"/>
      <c r="P238" s="34" t="str">
        <f t="shared" si="15"/>
        <v/>
      </c>
      <c r="R238" t="s">
        <v>85</v>
      </c>
      <c r="S238" s="1" t="str">
        <f t="shared" si="17"/>
        <v/>
      </c>
      <c r="T238" s="1"/>
      <c r="U238" s="35" t="str">
        <f t="shared" si="16"/>
        <v/>
      </c>
    </row>
    <row r="239" spans="12:21" x14ac:dyDescent="0.25">
      <c r="L239" s="26">
        <v>236</v>
      </c>
      <c r="M239" t="s">
        <v>84</v>
      </c>
      <c r="N239" s="1" t="str">
        <f t="shared" si="14"/>
        <v/>
      </c>
      <c r="O239" s="31"/>
      <c r="P239" s="34" t="str">
        <f t="shared" si="15"/>
        <v/>
      </c>
      <c r="R239" t="s">
        <v>84</v>
      </c>
      <c r="S239" s="1" t="str">
        <f t="shared" si="17"/>
        <v/>
      </c>
      <c r="T239" s="1"/>
      <c r="U239" s="35" t="str">
        <f t="shared" si="16"/>
        <v/>
      </c>
    </row>
    <row r="240" spans="12:21" x14ac:dyDescent="0.25">
      <c r="L240" s="26">
        <v>237</v>
      </c>
      <c r="M240" t="s">
        <v>83</v>
      </c>
      <c r="N240" s="1" t="str">
        <f t="shared" si="14"/>
        <v/>
      </c>
      <c r="O240" s="31"/>
      <c r="P240" s="34" t="str">
        <f t="shared" si="15"/>
        <v/>
      </c>
      <c r="R240" t="s">
        <v>83</v>
      </c>
      <c r="S240" s="1" t="str">
        <f t="shared" si="17"/>
        <v/>
      </c>
      <c r="T240" s="1"/>
      <c r="U240" s="35" t="str">
        <f t="shared" si="16"/>
        <v/>
      </c>
    </row>
    <row r="241" spans="12:21" x14ac:dyDescent="0.25">
      <c r="L241" s="26">
        <v>238</v>
      </c>
      <c r="M241" t="s">
        <v>82</v>
      </c>
      <c r="N241" s="1" t="str">
        <f t="shared" si="14"/>
        <v/>
      </c>
      <c r="O241" s="31"/>
      <c r="P241" s="34" t="str">
        <f t="shared" si="15"/>
        <v/>
      </c>
      <c r="R241" t="s">
        <v>82</v>
      </c>
      <c r="S241" s="1" t="str">
        <f t="shared" si="17"/>
        <v/>
      </c>
      <c r="T241" s="1"/>
      <c r="U241" s="35" t="str">
        <f t="shared" si="16"/>
        <v/>
      </c>
    </row>
    <row r="242" spans="12:21" x14ac:dyDescent="0.25">
      <c r="L242" s="26">
        <v>239</v>
      </c>
      <c r="M242" t="s">
        <v>81</v>
      </c>
      <c r="N242" s="1" t="str">
        <f t="shared" si="14"/>
        <v/>
      </c>
      <c r="O242" s="31"/>
      <c r="P242" s="34" t="str">
        <f t="shared" si="15"/>
        <v/>
      </c>
      <c r="R242" t="s">
        <v>81</v>
      </c>
      <c r="S242" s="1" t="str">
        <f t="shared" si="17"/>
        <v/>
      </c>
      <c r="T242" s="1"/>
      <c r="U242" s="35" t="str">
        <f t="shared" si="16"/>
        <v/>
      </c>
    </row>
    <row r="243" spans="12:21" x14ac:dyDescent="0.25">
      <c r="L243" s="26">
        <v>240</v>
      </c>
      <c r="M243" t="s">
        <v>80</v>
      </c>
      <c r="N243" s="1" t="str">
        <f t="shared" si="14"/>
        <v/>
      </c>
      <c r="O243" s="31"/>
      <c r="P243" s="34" t="str">
        <f t="shared" si="15"/>
        <v/>
      </c>
      <c r="R243" t="s">
        <v>80</v>
      </c>
      <c r="S243" s="1" t="str">
        <f t="shared" si="17"/>
        <v/>
      </c>
      <c r="T243" s="1"/>
      <c r="U243" s="35" t="str">
        <f t="shared" si="16"/>
        <v/>
      </c>
    </row>
    <row r="244" spans="12:21" x14ac:dyDescent="0.25">
      <c r="L244" s="26">
        <v>241</v>
      </c>
      <c r="M244" t="s">
        <v>79</v>
      </c>
      <c r="N244" s="1" t="str">
        <f t="shared" si="14"/>
        <v/>
      </c>
      <c r="O244" s="31"/>
      <c r="P244" s="34" t="str">
        <f t="shared" si="15"/>
        <v/>
      </c>
      <c r="R244" t="s">
        <v>79</v>
      </c>
      <c r="S244" s="1" t="str">
        <f t="shared" si="17"/>
        <v/>
      </c>
      <c r="T244" s="1"/>
      <c r="U244" s="35" t="str">
        <f t="shared" si="16"/>
        <v/>
      </c>
    </row>
    <row r="245" spans="12:21" x14ac:dyDescent="0.25">
      <c r="L245" s="26">
        <v>242</v>
      </c>
      <c r="M245" t="s">
        <v>78</v>
      </c>
      <c r="N245" s="1" t="str">
        <f t="shared" si="14"/>
        <v/>
      </c>
      <c r="O245" s="31"/>
      <c r="P245" s="34" t="str">
        <f t="shared" si="15"/>
        <v/>
      </c>
      <c r="R245" t="s">
        <v>78</v>
      </c>
      <c r="S245" s="1" t="str">
        <f t="shared" si="17"/>
        <v/>
      </c>
      <c r="T245" s="1"/>
      <c r="U245" s="35" t="str">
        <f t="shared" si="16"/>
        <v/>
      </c>
    </row>
    <row r="246" spans="12:21" x14ac:dyDescent="0.25">
      <c r="L246" s="26">
        <v>243</v>
      </c>
      <c r="M246" t="s">
        <v>77</v>
      </c>
      <c r="N246" s="1" t="str">
        <f t="shared" si="14"/>
        <v/>
      </c>
      <c r="O246" s="31"/>
      <c r="P246" s="34" t="str">
        <f t="shared" si="15"/>
        <v/>
      </c>
      <c r="R246" t="s">
        <v>77</v>
      </c>
      <c r="S246" s="1" t="str">
        <f t="shared" si="17"/>
        <v/>
      </c>
      <c r="T246" s="1"/>
      <c r="U246" s="35" t="str">
        <f t="shared" si="16"/>
        <v/>
      </c>
    </row>
    <row r="247" spans="12:21" x14ac:dyDescent="0.25">
      <c r="L247" s="26">
        <v>244</v>
      </c>
      <c r="M247" t="s">
        <v>76</v>
      </c>
      <c r="N247" s="1" t="str">
        <f t="shared" si="14"/>
        <v/>
      </c>
      <c r="O247" s="31"/>
      <c r="P247" s="34" t="str">
        <f t="shared" si="15"/>
        <v/>
      </c>
      <c r="R247" t="s">
        <v>76</v>
      </c>
      <c r="S247" s="1" t="str">
        <f t="shared" si="17"/>
        <v/>
      </c>
      <c r="T247" s="1"/>
      <c r="U247" s="35" t="str">
        <f t="shared" si="16"/>
        <v/>
      </c>
    </row>
    <row r="248" spans="12:21" x14ac:dyDescent="0.25">
      <c r="L248" s="26">
        <v>245</v>
      </c>
      <c r="M248" t="s">
        <v>75</v>
      </c>
      <c r="N248" s="1" t="str">
        <f t="shared" si="14"/>
        <v/>
      </c>
      <c r="O248" s="31"/>
      <c r="P248" s="34" t="str">
        <f t="shared" si="15"/>
        <v/>
      </c>
      <c r="R248" t="s">
        <v>75</v>
      </c>
      <c r="S248" s="1" t="str">
        <f t="shared" si="17"/>
        <v/>
      </c>
      <c r="T248" s="1"/>
      <c r="U248" s="35" t="str">
        <f t="shared" si="16"/>
        <v/>
      </c>
    </row>
    <row r="249" spans="12:21" x14ac:dyDescent="0.25">
      <c r="L249" s="26">
        <v>246</v>
      </c>
      <c r="M249" t="s">
        <v>74</v>
      </c>
      <c r="N249" s="1" t="str">
        <f t="shared" si="14"/>
        <v/>
      </c>
      <c r="O249" s="31"/>
      <c r="P249" s="34" t="str">
        <f t="shared" si="15"/>
        <v/>
      </c>
      <c r="R249" t="s">
        <v>74</v>
      </c>
      <c r="S249" s="1" t="str">
        <f t="shared" si="17"/>
        <v/>
      </c>
      <c r="T249" s="1"/>
      <c r="U249" s="35" t="str">
        <f t="shared" si="16"/>
        <v/>
      </c>
    </row>
    <row r="250" spans="12:21" x14ac:dyDescent="0.25">
      <c r="L250" s="26">
        <v>247</v>
      </c>
      <c r="M250" t="s">
        <v>73</v>
      </c>
      <c r="N250" s="1" t="str">
        <f t="shared" si="14"/>
        <v/>
      </c>
      <c r="O250" s="31"/>
      <c r="P250" s="34" t="str">
        <f t="shared" si="15"/>
        <v/>
      </c>
      <c r="R250" t="s">
        <v>73</v>
      </c>
      <c r="S250" s="1" t="str">
        <f t="shared" si="17"/>
        <v/>
      </c>
      <c r="T250" s="1"/>
      <c r="U250" s="35" t="str">
        <f t="shared" si="16"/>
        <v/>
      </c>
    </row>
    <row r="251" spans="12:21" x14ac:dyDescent="0.25">
      <c r="L251" s="26">
        <v>248</v>
      </c>
      <c r="M251" t="s">
        <v>72</v>
      </c>
      <c r="N251" s="1" t="str">
        <f t="shared" si="14"/>
        <v/>
      </c>
      <c r="O251" s="31"/>
      <c r="P251" s="34" t="str">
        <f t="shared" si="15"/>
        <v/>
      </c>
      <c r="R251" t="s">
        <v>72</v>
      </c>
      <c r="S251" s="1" t="str">
        <f t="shared" si="17"/>
        <v/>
      </c>
      <c r="T251" s="1"/>
      <c r="U251" s="35" t="str">
        <f t="shared" si="16"/>
        <v/>
      </c>
    </row>
    <row r="252" spans="12:21" x14ac:dyDescent="0.25">
      <c r="L252" s="26">
        <v>249</v>
      </c>
      <c r="M252" t="s">
        <v>71</v>
      </c>
      <c r="N252" s="1" t="str">
        <f t="shared" si="14"/>
        <v/>
      </c>
      <c r="O252" s="31"/>
      <c r="P252" s="34" t="str">
        <f t="shared" si="15"/>
        <v/>
      </c>
      <c r="R252" t="s">
        <v>71</v>
      </c>
      <c r="S252" s="1" t="str">
        <f t="shared" si="17"/>
        <v/>
      </c>
      <c r="T252" s="1"/>
      <c r="U252" s="35" t="str">
        <f t="shared" si="16"/>
        <v/>
      </c>
    </row>
    <row r="253" spans="12:21" x14ac:dyDescent="0.25">
      <c r="L253" s="26">
        <v>250</v>
      </c>
      <c r="M253" t="s">
        <v>70</v>
      </c>
      <c r="N253" s="1" t="str">
        <f>IF(L253&gt;$I$2,"",F253/$D$3-1)</f>
        <v/>
      </c>
      <c r="O253" s="31"/>
      <c r="P253" s="34" t="str">
        <f t="shared" si="15"/>
        <v/>
      </c>
      <c r="R253" t="s">
        <v>70</v>
      </c>
      <c r="S253" s="1" t="str">
        <f>IF(L253&gt;$I$2,"",E253/$D$3-1)</f>
        <v/>
      </c>
      <c r="T253" s="1"/>
      <c r="U253" s="35" t="str">
        <f t="shared" si="16"/>
        <v/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3BACE-108C-4406-90BB-65E88C72FB9B}">
  <dimension ref="A1:U253"/>
  <sheetViews>
    <sheetView workbookViewId="0"/>
  </sheetViews>
  <sheetFormatPr defaultRowHeight="16.5" x14ac:dyDescent="0.25"/>
  <sheetData>
    <row r="1" spans="1:21" x14ac:dyDescent="0.25">
      <c r="A1" s="2" t="str">
        <f>"cmoneylookup|"&amp;B1&amp;回測表!A5&amp;C1&amp;回測表!B5&amp;D1&amp;回測表!C5&amp;E1</f>
        <v>cmoneylookup|&lt;&lt;LKQbXHjQyC$VmN7^hIU0FLBkWHRMfHRZ2BDwHUWcFQGVRF7Z8D73XRQndMUIkCEvVAEV{GRQBB9VOBog40GJyFjAhAkQBAGniJ93dD9RWE80gAQMTFlrHFAFN4V0r5X8HHBAHRQnvMUIkCFJT&gt;&gt;20060331&lt;&lt;21}JyAAAsUmVpIQjuMEsC&gt;&gt;20060424&lt;&lt;21}JyAAAsUmV7MQIfP$NZ2V7z&gt;&gt;6223&lt;&lt;21}Jy6}vxC8^XB{$Pn0eR{EP6bg6kl{iLqGHFcMH0tm{Pd^aejv7yqeRDkeyWswTMYw1BlD2IaGnJBkjI2UUR}fP8n{}liOCDqsuV9v}UL}8HGBnXFl8PqtLYv3bulwkgV$VmN8^7N{8bRjr2FnYc8fGlRQvdITQ7CCFWMmZJL9EpRQj8MWM$CCfnJlBA0RbBAT74WRE323h3ktQz&gt;&gt;</v>
      </c>
      <c r="B1" s="2" t="s">
        <v>64</v>
      </c>
      <c r="C1" s="2" t="s">
        <v>7</v>
      </c>
      <c r="D1" s="2" t="s">
        <v>8</v>
      </c>
      <c r="E1" s="2" t="s">
        <v>24</v>
      </c>
      <c r="F1" s="2"/>
    </row>
    <row r="2" spans="1:21" x14ac:dyDescent="0.25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6" t="s">
        <v>14</v>
      </c>
      <c r="H2" s="3" t="s">
        <v>28</v>
      </c>
      <c r="I2" s="28">
        <f>COUNTA(A:A)-3</f>
        <v>15</v>
      </c>
      <c r="M2" t="s">
        <v>294</v>
      </c>
      <c r="N2" s="30">
        <f>MIN($N$4:$N$4000)</f>
        <v>-1.41497926323495E-2</v>
      </c>
      <c r="O2" s="37" t="s">
        <v>307</v>
      </c>
      <c r="P2" s="38">
        <v>1</v>
      </c>
      <c r="R2" t="s">
        <v>296</v>
      </c>
      <c r="S2" s="30">
        <f>MAX($S$4:$S$4000)</f>
        <v>0.39741400341546718</v>
      </c>
      <c r="T2" s="37" t="s">
        <v>298</v>
      </c>
      <c r="U2" s="25">
        <v>1</v>
      </c>
    </row>
    <row r="3" spans="1:21" x14ac:dyDescent="0.25">
      <c r="A3" s="26">
        <v>20060331</v>
      </c>
      <c r="B3" s="26">
        <v>6223</v>
      </c>
      <c r="C3" s="26" t="s">
        <v>318</v>
      </c>
      <c r="D3" s="26">
        <v>40.99</v>
      </c>
      <c r="E3" s="26">
        <v>42.02</v>
      </c>
      <c r="F3" s="26">
        <v>40.94</v>
      </c>
      <c r="H3" s="3" t="s">
        <v>38</v>
      </c>
      <c r="I3" s="29">
        <f>IF($I$2&lt;5,"",D8/D3-1)</f>
        <v>0.10270797755550132</v>
      </c>
      <c r="M3" t="s">
        <v>293</v>
      </c>
      <c r="N3">
        <f>IF(ISERROR(INDEX($A$4:$A$4000,MATCH($N$2,$N$4:$N$4000,0))),"",INDEX($A$4:$A$4000,MATCH($N$2,$N$4:$N$4000,0)))</f>
        <v>20060406</v>
      </c>
      <c r="O3" t="s">
        <v>293</v>
      </c>
      <c r="P3" s="25" t="str">
        <f>IF(ISERROR(INDEX($A$4:$A$4000,MATCH($P$2,$P$4:$P$4000,0))),"",INDEX($A$4:$A$4000,MATCH($P$2,$P$4:$P$4000,0)))</f>
        <v/>
      </c>
      <c r="R3" t="s">
        <v>293</v>
      </c>
      <c r="S3">
        <f>IF(ISERROR(INDEX($A$4:$A$4000,MATCH($S$2,$S$4:$S$4000,0))),"",INDEX($A$4:$A$4000,MATCH($S$2,$S$4:$S$4000,0)))</f>
        <v>20060424</v>
      </c>
      <c r="T3" t="s">
        <v>293</v>
      </c>
      <c r="U3" s="25">
        <f>IF(ISERROR(INDEX($A$4:$A$4000,MATCH($U$2,$U$4:$U$4000,0))),"",INDEX($A$4:$A$4000,MATCH($U$2,$U$4:$U$4000,0)))</f>
        <v>20060413</v>
      </c>
    </row>
    <row r="4" spans="1:21" x14ac:dyDescent="0.25">
      <c r="A4" s="26">
        <v>20060403</v>
      </c>
      <c r="B4" s="26">
        <v>6223</v>
      </c>
      <c r="C4" s="26" t="s">
        <v>318</v>
      </c>
      <c r="D4" s="26">
        <v>41.21</v>
      </c>
      <c r="E4" s="26">
        <v>42.33</v>
      </c>
      <c r="F4" s="26">
        <v>40.99</v>
      </c>
      <c r="H4" s="3" t="s">
        <v>29</v>
      </c>
      <c r="I4" s="29">
        <f>IF($I$2&lt;10,"",D13/D3-1)</f>
        <v>0.21712612832398137</v>
      </c>
      <c r="K4" t="s">
        <v>65</v>
      </c>
      <c r="L4" s="26">
        <v>1</v>
      </c>
      <c r="M4" t="s">
        <v>39</v>
      </c>
      <c r="N4" s="1">
        <f>IF(L4&gt;$I$2,"",F4/$D$3-1)</f>
        <v>0</v>
      </c>
      <c r="O4" s="31"/>
      <c r="P4" s="34" t="str">
        <f>IF(AND(L4&lt;=$I$2,N4&lt;= -0.1),1,"")</f>
        <v/>
      </c>
      <c r="Q4" t="s">
        <v>295</v>
      </c>
      <c r="R4" t="s">
        <v>39</v>
      </c>
      <c r="S4" s="1">
        <f>IF(L4&gt;$I$2,"",E4/$D$3-1)</f>
        <v>3.2690900219565666E-2</v>
      </c>
      <c r="T4" s="1"/>
      <c r="U4" s="35" t="str">
        <f>IF(AND(L4&lt;=$I$2,S4&gt;=0.2),1,"")</f>
        <v/>
      </c>
    </row>
    <row r="5" spans="1:21" x14ac:dyDescent="0.25">
      <c r="A5" s="26">
        <v>20060404</v>
      </c>
      <c r="B5" s="26">
        <v>6223</v>
      </c>
      <c r="C5" s="26" t="s">
        <v>318</v>
      </c>
      <c r="D5" s="26">
        <v>40.770000000000003</v>
      </c>
      <c r="E5" s="26">
        <v>41.62</v>
      </c>
      <c r="F5" s="26">
        <v>40.68</v>
      </c>
      <c r="H5" s="3" t="s">
        <v>31</v>
      </c>
      <c r="I5" s="29" t="str">
        <f>IF($I$2&lt;20,"",D23/D3-1)</f>
        <v/>
      </c>
      <c r="L5" s="26">
        <v>2</v>
      </c>
      <c r="M5" t="s">
        <v>40</v>
      </c>
      <c r="N5" s="1">
        <f t="shared" ref="N5:N68" si="0">IF(L5&gt;$I$2,"",F5/$D$3-1)</f>
        <v>-7.5628202000488365E-3</v>
      </c>
      <c r="O5" s="31"/>
      <c r="P5" s="34" t="str">
        <f t="shared" ref="P5:P68" si="1">IF(AND(L5&lt;=$I$2,N5&lt;= -0.1),1,"")</f>
        <v/>
      </c>
      <c r="R5" t="s">
        <v>40</v>
      </c>
      <c r="S5" s="1">
        <f>IF(L5&gt;$I$2,"",E5/$D$3-1)</f>
        <v>1.5369602342034439E-2</v>
      </c>
      <c r="T5" s="1"/>
      <c r="U5" s="35" t="str">
        <f t="shared" ref="U5:U68" si="2">IF(AND(L5&lt;=$I$2,S5&gt;=0.2),1,"")</f>
        <v/>
      </c>
    </row>
    <row r="6" spans="1:21" x14ac:dyDescent="0.25">
      <c r="A6" s="26">
        <v>20060406</v>
      </c>
      <c r="B6" s="26">
        <v>6223</v>
      </c>
      <c r="C6" s="26" t="s">
        <v>318</v>
      </c>
      <c r="D6" s="26">
        <v>41.53</v>
      </c>
      <c r="E6" s="26">
        <v>42.33</v>
      </c>
      <c r="F6" s="26">
        <v>40.409999999999997</v>
      </c>
      <c r="L6" s="26">
        <v>3</v>
      </c>
      <c r="M6" t="s">
        <v>41</v>
      </c>
      <c r="N6" s="1">
        <f t="shared" si="0"/>
        <v>-1.41497926323495E-2</v>
      </c>
      <c r="O6" s="31"/>
      <c r="P6" s="34" t="str">
        <f t="shared" si="1"/>
        <v/>
      </c>
      <c r="R6" t="s">
        <v>41</v>
      </c>
      <c r="S6" s="1">
        <f>IF(L6&gt;$I$2,"",E6/$D$3-1)</f>
        <v>3.2690900219565666E-2</v>
      </c>
      <c r="T6" s="1"/>
      <c r="U6" s="35" t="str">
        <f t="shared" si="2"/>
        <v/>
      </c>
    </row>
    <row r="7" spans="1:21" x14ac:dyDescent="0.25">
      <c r="A7" s="26">
        <v>20060407</v>
      </c>
      <c r="B7" s="26">
        <v>6223</v>
      </c>
      <c r="C7" s="26" t="s">
        <v>318</v>
      </c>
      <c r="D7" s="26">
        <v>42.33</v>
      </c>
      <c r="E7" s="26">
        <v>42.64</v>
      </c>
      <c r="F7" s="26">
        <v>41.66</v>
      </c>
      <c r="L7" s="26">
        <v>4</v>
      </c>
      <c r="M7" t="s">
        <v>42</v>
      </c>
      <c r="N7" s="1">
        <f t="shared" si="0"/>
        <v>1.6345450109782833E-2</v>
      </c>
      <c r="O7" s="31"/>
      <c r="P7" s="34" t="str">
        <f t="shared" si="1"/>
        <v/>
      </c>
      <c r="R7" t="s">
        <v>42</v>
      </c>
      <c r="S7" s="1">
        <f t="shared" ref="S7:S11" si="3">IF(L7&gt;$I$2,"",E7/$D$3-1)</f>
        <v>4.0253720419614503E-2</v>
      </c>
      <c r="T7" s="1"/>
      <c r="U7" s="35" t="str">
        <f t="shared" si="2"/>
        <v/>
      </c>
    </row>
    <row r="8" spans="1:21" x14ac:dyDescent="0.25">
      <c r="A8" s="26">
        <v>20060410</v>
      </c>
      <c r="B8" s="26">
        <v>6223</v>
      </c>
      <c r="C8" s="26" t="s">
        <v>318</v>
      </c>
      <c r="D8" s="26">
        <v>45.2</v>
      </c>
      <c r="E8" s="26">
        <v>45.2</v>
      </c>
      <c r="F8" s="26">
        <v>42.38</v>
      </c>
      <c r="L8" s="26">
        <v>5</v>
      </c>
      <c r="M8" t="s">
        <v>37</v>
      </c>
      <c r="N8" s="1">
        <f t="shared" si="0"/>
        <v>3.3910709929251048E-2</v>
      </c>
      <c r="O8" s="31"/>
      <c r="P8" s="34" t="str">
        <f t="shared" si="1"/>
        <v/>
      </c>
      <c r="R8" t="s">
        <v>37</v>
      </c>
      <c r="S8" s="1">
        <f t="shared" si="3"/>
        <v>0.10270797755550132</v>
      </c>
      <c r="T8" s="1"/>
      <c r="U8" s="35" t="str">
        <f t="shared" si="2"/>
        <v/>
      </c>
    </row>
    <row r="9" spans="1:21" x14ac:dyDescent="0.25">
      <c r="A9" s="26">
        <v>20060411</v>
      </c>
      <c r="B9" s="26">
        <v>6223</v>
      </c>
      <c r="C9" s="26" t="s">
        <v>318</v>
      </c>
      <c r="D9" s="26">
        <v>45.64</v>
      </c>
      <c r="E9" s="26">
        <v>46.76</v>
      </c>
      <c r="F9" s="26">
        <v>43.94</v>
      </c>
      <c r="L9" s="26">
        <v>6</v>
      </c>
      <c r="M9" t="s">
        <v>43</v>
      </c>
      <c r="N9" s="1">
        <f t="shared" si="0"/>
        <v>7.1968772871431996E-2</v>
      </c>
      <c r="O9" s="31"/>
      <c r="P9" s="34" t="str">
        <f t="shared" si="1"/>
        <v/>
      </c>
      <c r="R9" t="s">
        <v>43</v>
      </c>
      <c r="S9" s="1">
        <f t="shared" si="3"/>
        <v>0.14076604049768227</v>
      </c>
      <c r="T9" s="1"/>
      <c r="U9" s="35" t="str">
        <f t="shared" si="2"/>
        <v/>
      </c>
    </row>
    <row r="10" spans="1:21" x14ac:dyDescent="0.25">
      <c r="A10" s="26">
        <v>20060412</v>
      </c>
      <c r="B10" s="26">
        <v>6223</v>
      </c>
      <c r="C10" s="26" t="s">
        <v>318</v>
      </c>
      <c r="D10" s="26">
        <v>48.78</v>
      </c>
      <c r="E10" s="26">
        <v>48.78</v>
      </c>
      <c r="F10" s="26">
        <v>44.75</v>
      </c>
      <c r="L10" s="26">
        <v>7</v>
      </c>
      <c r="M10" t="s">
        <v>44</v>
      </c>
      <c r="N10" s="1">
        <f t="shared" si="0"/>
        <v>9.1729690168333766E-2</v>
      </c>
      <c r="O10" s="31"/>
      <c r="P10" s="34" t="str">
        <f t="shared" si="1"/>
        <v/>
      </c>
      <c r="R10" t="s">
        <v>44</v>
      </c>
      <c r="S10" s="1">
        <f t="shared" si="3"/>
        <v>0.19004635276896797</v>
      </c>
      <c r="T10" s="1"/>
      <c r="U10" s="35" t="str">
        <f t="shared" si="2"/>
        <v/>
      </c>
    </row>
    <row r="11" spans="1:21" x14ac:dyDescent="0.25">
      <c r="A11" s="26">
        <v>20060413</v>
      </c>
      <c r="B11" s="26">
        <v>6223</v>
      </c>
      <c r="C11" s="26" t="s">
        <v>318</v>
      </c>
      <c r="D11" s="26">
        <v>46.99</v>
      </c>
      <c r="E11" s="26">
        <v>49.22</v>
      </c>
      <c r="F11" s="26">
        <v>46.99</v>
      </c>
      <c r="L11" s="26">
        <v>8</v>
      </c>
      <c r="M11" t="s">
        <v>45</v>
      </c>
      <c r="N11" s="1">
        <f t="shared" si="0"/>
        <v>0.14637716516223476</v>
      </c>
      <c r="O11" s="31"/>
      <c r="P11" s="34" t="str">
        <f t="shared" si="1"/>
        <v/>
      </c>
      <c r="R11" t="s">
        <v>45</v>
      </c>
      <c r="S11" s="1">
        <f t="shared" si="3"/>
        <v>0.20078067821419854</v>
      </c>
      <c r="T11" s="1"/>
      <c r="U11" s="35">
        <f t="shared" si="2"/>
        <v>1</v>
      </c>
    </row>
    <row r="12" spans="1:21" x14ac:dyDescent="0.25">
      <c r="A12" s="26">
        <v>20060414</v>
      </c>
      <c r="B12" s="26">
        <v>6223</v>
      </c>
      <c r="C12" s="26" t="s">
        <v>318</v>
      </c>
      <c r="D12" s="26">
        <v>47.43</v>
      </c>
      <c r="E12" s="26">
        <v>49.22</v>
      </c>
      <c r="F12" s="26">
        <v>46.76</v>
      </c>
      <c r="L12" s="26">
        <v>9</v>
      </c>
      <c r="M12" t="s">
        <v>46</v>
      </c>
      <c r="N12" s="1">
        <f>IF(L12&gt;$I$2,"",F12/$D$3-1)</f>
        <v>0.14076604049768227</v>
      </c>
      <c r="O12" s="31"/>
      <c r="P12" s="34" t="str">
        <f t="shared" si="1"/>
        <v/>
      </c>
      <c r="R12" t="s">
        <v>46</v>
      </c>
      <c r="S12" s="1">
        <f>IF(L12&gt;$I$2,"",E12/$D$3-1)</f>
        <v>0.20078067821419854</v>
      </c>
      <c r="T12" s="1"/>
      <c r="U12" s="35">
        <f t="shared" si="2"/>
        <v>1</v>
      </c>
    </row>
    <row r="13" spans="1:21" x14ac:dyDescent="0.25">
      <c r="A13" s="26">
        <v>20060417</v>
      </c>
      <c r="B13" s="26">
        <v>6223</v>
      </c>
      <c r="C13" s="26" t="s">
        <v>318</v>
      </c>
      <c r="D13" s="26">
        <v>49.89</v>
      </c>
      <c r="E13" s="26">
        <v>50.57</v>
      </c>
      <c r="F13" s="26">
        <v>47.43</v>
      </c>
      <c r="L13" s="26">
        <v>10</v>
      </c>
      <c r="M13" t="s">
        <v>47</v>
      </c>
      <c r="N13" s="1">
        <f t="shared" si="0"/>
        <v>0.1571114906074651</v>
      </c>
      <c r="O13" s="31"/>
      <c r="P13" s="34" t="str">
        <f t="shared" si="1"/>
        <v/>
      </c>
      <c r="R13" t="s">
        <v>47</v>
      </c>
      <c r="S13" s="1">
        <f>IF(L13&gt;$I$2,"",E13/$D$3-1)</f>
        <v>0.23371554037570141</v>
      </c>
      <c r="T13" s="1"/>
      <c r="U13" s="35">
        <f t="shared" si="2"/>
        <v>1</v>
      </c>
    </row>
    <row r="14" spans="1:21" x14ac:dyDescent="0.25">
      <c r="A14" s="26">
        <v>20060418</v>
      </c>
      <c r="B14" s="26">
        <v>6223</v>
      </c>
      <c r="C14" s="26" t="s">
        <v>318</v>
      </c>
      <c r="D14" s="26">
        <v>52.58</v>
      </c>
      <c r="E14" s="26">
        <v>53.25</v>
      </c>
      <c r="F14" s="26">
        <v>48.55</v>
      </c>
      <c r="L14" s="26">
        <v>11</v>
      </c>
      <c r="M14" t="s">
        <v>48</v>
      </c>
      <c r="N14" s="1">
        <f t="shared" si="0"/>
        <v>0.18443522810441548</v>
      </c>
      <c r="O14" s="31"/>
      <c r="P14" s="34" t="str">
        <f t="shared" si="1"/>
        <v/>
      </c>
      <c r="R14" t="s">
        <v>48</v>
      </c>
      <c r="S14" s="1">
        <f>IF(L14&gt;$I$2,"",E14/$D$3-1)</f>
        <v>0.29909734081483275</v>
      </c>
      <c r="T14" s="1"/>
      <c r="U14" s="35">
        <f t="shared" si="2"/>
        <v>1</v>
      </c>
    </row>
    <row r="15" spans="1:21" x14ac:dyDescent="0.25">
      <c r="A15" s="26">
        <v>20060419</v>
      </c>
      <c r="B15" s="26">
        <v>6223</v>
      </c>
      <c r="C15" s="26" t="s">
        <v>318</v>
      </c>
      <c r="D15" s="26">
        <v>51.01</v>
      </c>
      <c r="E15" s="26">
        <v>54.59</v>
      </c>
      <c r="F15" s="26">
        <v>51.01</v>
      </c>
      <c r="L15" s="26">
        <v>12</v>
      </c>
      <c r="M15" t="s">
        <v>49</v>
      </c>
      <c r="N15" s="1">
        <f t="shared" si="0"/>
        <v>0.24444986582093176</v>
      </c>
      <c r="O15" s="31"/>
      <c r="P15" s="34" t="str">
        <f t="shared" si="1"/>
        <v/>
      </c>
      <c r="R15" t="s">
        <v>49</v>
      </c>
      <c r="S15" s="1">
        <f t="shared" ref="S15:S18" si="4">IF(L15&gt;$I$2,"",E15/$D$3-1)</f>
        <v>0.33178824103439863</v>
      </c>
      <c r="T15" s="1"/>
      <c r="U15" s="35">
        <f t="shared" si="2"/>
        <v>1</v>
      </c>
    </row>
    <row r="16" spans="1:21" x14ac:dyDescent="0.25">
      <c r="A16" s="26">
        <v>20060420</v>
      </c>
      <c r="B16" s="26">
        <v>6223</v>
      </c>
      <c r="C16" s="26" t="s">
        <v>318</v>
      </c>
      <c r="D16" s="26">
        <v>53.25</v>
      </c>
      <c r="E16" s="26">
        <v>53.25</v>
      </c>
      <c r="F16" s="26">
        <v>51.46</v>
      </c>
      <c r="L16" s="26">
        <v>13</v>
      </c>
      <c r="M16" t="s">
        <v>50</v>
      </c>
      <c r="N16" s="1">
        <f t="shared" si="0"/>
        <v>0.25542815320809953</v>
      </c>
      <c r="O16" s="31"/>
      <c r="P16" s="34" t="str">
        <f t="shared" si="1"/>
        <v/>
      </c>
      <c r="R16" t="s">
        <v>50</v>
      </c>
      <c r="S16" s="1">
        <f t="shared" si="4"/>
        <v>0.29909734081483275</v>
      </c>
      <c r="T16" s="1"/>
      <c r="U16" s="35">
        <f t="shared" si="2"/>
        <v>1</v>
      </c>
    </row>
    <row r="17" spans="1:21" x14ac:dyDescent="0.25">
      <c r="A17" s="26">
        <v>20060421</v>
      </c>
      <c r="B17" s="26">
        <v>6223</v>
      </c>
      <c r="C17" s="26" t="s">
        <v>318</v>
      </c>
      <c r="D17" s="26">
        <v>56.83</v>
      </c>
      <c r="E17" s="26">
        <v>56.83</v>
      </c>
      <c r="F17" s="26">
        <v>54.14</v>
      </c>
      <c r="L17" s="26">
        <v>14</v>
      </c>
      <c r="M17" t="s">
        <v>51</v>
      </c>
      <c r="N17" s="1">
        <f t="shared" si="0"/>
        <v>0.32080995364723108</v>
      </c>
      <c r="O17" s="31"/>
      <c r="P17" s="34" t="str">
        <f t="shared" si="1"/>
        <v/>
      </c>
      <c r="R17" t="s">
        <v>51</v>
      </c>
      <c r="S17" s="1">
        <f t="shared" si="4"/>
        <v>0.3864357160282994</v>
      </c>
      <c r="T17" s="1"/>
      <c r="U17" s="35">
        <f t="shared" si="2"/>
        <v>1</v>
      </c>
    </row>
    <row r="18" spans="1:21" x14ac:dyDescent="0.25">
      <c r="A18" s="26">
        <v>20060424</v>
      </c>
      <c r="B18" s="26">
        <v>6223</v>
      </c>
      <c r="C18" s="26" t="s">
        <v>318</v>
      </c>
      <c r="D18" s="26">
        <v>57.28</v>
      </c>
      <c r="E18" s="26">
        <v>57.28</v>
      </c>
      <c r="F18" s="26">
        <v>54.14</v>
      </c>
      <c r="L18" s="26">
        <v>15</v>
      </c>
      <c r="M18" t="s">
        <v>52</v>
      </c>
      <c r="N18" s="1">
        <f t="shared" si="0"/>
        <v>0.32080995364723108</v>
      </c>
      <c r="O18" s="31"/>
      <c r="P18" s="34" t="str">
        <f t="shared" si="1"/>
        <v/>
      </c>
      <c r="R18" t="s">
        <v>52</v>
      </c>
      <c r="S18" s="1">
        <f t="shared" si="4"/>
        <v>0.39741400341546718</v>
      </c>
      <c r="T18" s="1"/>
      <c r="U18" s="35">
        <f t="shared" si="2"/>
        <v>1</v>
      </c>
    </row>
    <row r="19" spans="1:21" x14ac:dyDescent="0.25">
      <c r="A19" s="26"/>
      <c r="B19" s="26"/>
      <c r="C19" s="26"/>
      <c r="D19" s="26"/>
      <c r="E19" s="26"/>
      <c r="F19" s="26"/>
      <c r="L19" s="26">
        <v>16</v>
      </c>
      <c r="M19" t="s">
        <v>53</v>
      </c>
      <c r="N19" s="1" t="str">
        <f t="shared" si="0"/>
        <v/>
      </c>
      <c r="O19" s="31"/>
      <c r="P19" s="34" t="str">
        <f t="shared" si="1"/>
        <v/>
      </c>
      <c r="R19" t="s">
        <v>53</v>
      </c>
      <c r="S19" s="1" t="str">
        <f>IF(L19&gt;$I$2,"",E19/$D$3-1)</f>
        <v/>
      </c>
      <c r="T19" s="1"/>
      <c r="U19" s="35" t="str">
        <f t="shared" si="2"/>
        <v/>
      </c>
    </row>
    <row r="20" spans="1:21" x14ac:dyDescent="0.25">
      <c r="A20" s="26"/>
      <c r="B20" s="26"/>
      <c r="C20" s="26"/>
      <c r="D20" s="26"/>
      <c r="E20" s="26"/>
      <c r="F20" s="26"/>
      <c r="L20" s="26">
        <v>17</v>
      </c>
      <c r="M20" t="s">
        <v>54</v>
      </c>
      <c r="N20" s="1" t="str">
        <f t="shared" si="0"/>
        <v/>
      </c>
      <c r="O20" s="31"/>
      <c r="P20" s="34" t="str">
        <f t="shared" si="1"/>
        <v/>
      </c>
      <c r="R20" t="s">
        <v>54</v>
      </c>
      <c r="S20" s="1" t="str">
        <f>IF(L20&gt;$I$2,"",E20/$D$3-1)</f>
        <v/>
      </c>
      <c r="T20" s="1"/>
      <c r="U20" s="35" t="str">
        <f t="shared" si="2"/>
        <v/>
      </c>
    </row>
    <row r="21" spans="1:21" x14ac:dyDescent="0.25">
      <c r="A21" s="26"/>
      <c r="B21" s="26"/>
      <c r="C21" s="26"/>
      <c r="D21" s="26"/>
      <c r="E21" s="26"/>
      <c r="F21" s="26"/>
      <c r="L21" s="26">
        <v>18</v>
      </c>
      <c r="M21" t="s">
        <v>55</v>
      </c>
      <c r="N21" s="1" t="str">
        <f t="shared" si="0"/>
        <v/>
      </c>
      <c r="O21" s="31"/>
      <c r="P21" s="34" t="str">
        <f t="shared" si="1"/>
        <v/>
      </c>
      <c r="R21" t="s">
        <v>55</v>
      </c>
      <c r="S21" s="1" t="str">
        <f>IF(L21&gt;$I$2,"",E21/$D$3-1)</f>
        <v/>
      </c>
      <c r="T21" s="1"/>
      <c r="U21" s="35" t="str">
        <f t="shared" si="2"/>
        <v/>
      </c>
    </row>
    <row r="22" spans="1:21" x14ac:dyDescent="0.25">
      <c r="A22" s="26"/>
      <c r="B22" s="26"/>
      <c r="C22" s="26"/>
      <c r="D22" s="26"/>
      <c r="E22" s="26"/>
      <c r="F22" s="26"/>
      <c r="L22" s="26">
        <v>19</v>
      </c>
      <c r="M22" t="s">
        <v>56</v>
      </c>
      <c r="N22" s="1" t="str">
        <f t="shared" si="0"/>
        <v/>
      </c>
      <c r="O22" s="31"/>
      <c r="P22" s="34" t="str">
        <f t="shared" si="1"/>
        <v/>
      </c>
      <c r="R22" t="s">
        <v>56</v>
      </c>
      <c r="S22" s="1" t="str">
        <f>IF(L22&gt;$I$2,"",E22/$D$3-1)</f>
        <v/>
      </c>
      <c r="T22" s="1"/>
      <c r="U22" s="35" t="str">
        <f t="shared" si="2"/>
        <v/>
      </c>
    </row>
    <row r="23" spans="1:21" x14ac:dyDescent="0.25">
      <c r="A23" s="26"/>
      <c r="B23" s="26"/>
      <c r="C23" s="26"/>
      <c r="D23" s="26"/>
      <c r="E23" s="26"/>
      <c r="F23" s="26"/>
      <c r="L23" s="26">
        <v>20</v>
      </c>
      <c r="M23" t="s">
        <v>57</v>
      </c>
      <c r="N23" s="1" t="str">
        <f t="shared" si="0"/>
        <v/>
      </c>
      <c r="O23" s="31"/>
      <c r="P23" s="34" t="str">
        <f t="shared" si="1"/>
        <v/>
      </c>
      <c r="R23" t="s">
        <v>57</v>
      </c>
      <c r="S23" s="1" t="str">
        <f>IF(L23&gt;$I$2,"",E23/$D$3-1)</f>
        <v/>
      </c>
      <c r="T23" s="1"/>
      <c r="U23" s="35" t="str">
        <f t="shared" si="2"/>
        <v/>
      </c>
    </row>
    <row r="24" spans="1:21" x14ac:dyDescent="0.25">
      <c r="A24" s="26"/>
      <c r="B24" s="26"/>
      <c r="C24" s="26"/>
      <c r="D24" s="26"/>
      <c r="E24" s="26"/>
      <c r="F24" s="26"/>
      <c r="L24" s="26">
        <v>21</v>
      </c>
      <c r="M24" t="s">
        <v>58</v>
      </c>
      <c r="N24" s="1" t="str">
        <f t="shared" si="0"/>
        <v/>
      </c>
      <c r="O24" s="31"/>
      <c r="P24" s="34" t="str">
        <f t="shared" si="1"/>
        <v/>
      </c>
      <c r="R24" t="s">
        <v>58</v>
      </c>
      <c r="S24" s="1" t="str">
        <f t="shared" ref="S24:S87" si="5">IF(L24&gt;$I$2,"",E24/$D$3-1)</f>
        <v/>
      </c>
      <c r="T24" s="1"/>
      <c r="U24" s="35" t="str">
        <f t="shared" si="2"/>
        <v/>
      </c>
    </row>
    <row r="25" spans="1:21" x14ac:dyDescent="0.25">
      <c r="A25" s="26"/>
      <c r="B25" s="26"/>
      <c r="C25" s="26"/>
      <c r="D25" s="26"/>
      <c r="E25" s="26"/>
      <c r="F25" s="26"/>
      <c r="L25" s="26">
        <v>22</v>
      </c>
      <c r="M25" t="s">
        <v>59</v>
      </c>
      <c r="N25" s="1" t="str">
        <f t="shared" si="0"/>
        <v/>
      </c>
      <c r="O25" s="31"/>
      <c r="P25" s="34" t="str">
        <f t="shared" si="1"/>
        <v/>
      </c>
      <c r="R25" t="s">
        <v>59</v>
      </c>
      <c r="S25" s="1" t="str">
        <f t="shared" si="5"/>
        <v/>
      </c>
      <c r="T25" s="1"/>
      <c r="U25" s="35" t="str">
        <f t="shared" si="2"/>
        <v/>
      </c>
    </row>
    <row r="26" spans="1:21" x14ac:dyDescent="0.25">
      <c r="A26" s="26"/>
      <c r="B26" s="26"/>
      <c r="C26" s="26"/>
      <c r="D26" s="26"/>
      <c r="E26" s="26"/>
      <c r="F26" s="26"/>
      <c r="L26" s="26">
        <v>23</v>
      </c>
      <c r="M26" t="s">
        <v>60</v>
      </c>
      <c r="N26" s="1" t="str">
        <f t="shared" si="0"/>
        <v/>
      </c>
      <c r="O26" s="31"/>
      <c r="P26" s="34" t="str">
        <f t="shared" si="1"/>
        <v/>
      </c>
      <c r="R26" t="s">
        <v>60</v>
      </c>
      <c r="S26" s="1" t="str">
        <f t="shared" si="5"/>
        <v/>
      </c>
      <c r="T26" s="1"/>
      <c r="U26" s="35" t="str">
        <f t="shared" si="2"/>
        <v/>
      </c>
    </row>
    <row r="27" spans="1:21" x14ac:dyDescent="0.25">
      <c r="A27" s="16"/>
      <c r="B27" s="16"/>
      <c r="C27" s="16"/>
      <c r="D27" s="16"/>
      <c r="E27" s="16"/>
      <c r="F27" s="16"/>
      <c r="G27" s="9"/>
      <c r="H27" s="9"/>
      <c r="I27" s="9"/>
      <c r="J27" s="9"/>
      <c r="K27" s="9"/>
      <c r="L27" s="16">
        <v>24</v>
      </c>
      <c r="M27" s="9" t="s">
        <v>66</v>
      </c>
      <c r="N27" s="33" t="str">
        <f t="shared" si="0"/>
        <v/>
      </c>
      <c r="O27" s="32"/>
      <c r="P27" s="34" t="str">
        <f t="shared" si="1"/>
        <v/>
      </c>
      <c r="Q27" s="9"/>
      <c r="R27" s="9" t="s">
        <v>61</v>
      </c>
      <c r="S27" s="33" t="str">
        <f t="shared" si="5"/>
        <v/>
      </c>
      <c r="T27" s="33"/>
      <c r="U27" s="35" t="str">
        <f t="shared" si="2"/>
        <v/>
      </c>
    </row>
    <row r="28" spans="1:21" x14ac:dyDescent="0.25">
      <c r="A28" s="26"/>
      <c r="B28" s="26"/>
      <c r="C28" s="26"/>
      <c r="D28" s="26"/>
      <c r="E28" s="26"/>
      <c r="F28" s="26"/>
      <c r="L28" s="26">
        <v>25</v>
      </c>
      <c r="M28" t="s">
        <v>67</v>
      </c>
      <c r="N28" s="1" t="str">
        <f t="shared" si="0"/>
        <v/>
      </c>
      <c r="O28" s="31"/>
      <c r="P28" s="34" t="str">
        <f t="shared" si="1"/>
        <v/>
      </c>
      <c r="R28" t="s">
        <v>67</v>
      </c>
      <c r="S28" s="1" t="str">
        <f>IF(L28&gt;$I$2,"",E28/$D$3-1)</f>
        <v/>
      </c>
      <c r="T28" s="1"/>
      <c r="U28" s="35" t="str">
        <f t="shared" si="2"/>
        <v/>
      </c>
    </row>
    <row r="29" spans="1:21" x14ac:dyDescent="0.25">
      <c r="A29" s="26"/>
      <c r="B29" s="26"/>
      <c r="C29" s="26"/>
      <c r="D29" s="26"/>
      <c r="E29" s="26"/>
      <c r="F29" s="26"/>
      <c r="L29" s="26">
        <v>26</v>
      </c>
      <c r="M29" t="s">
        <v>68</v>
      </c>
      <c r="N29" s="1" t="str">
        <f t="shared" si="0"/>
        <v/>
      </c>
      <c r="O29" s="31"/>
      <c r="P29" s="34" t="str">
        <f t="shared" si="1"/>
        <v/>
      </c>
      <c r="R29" t="s">
        <v>68</v>
      </c>
      <c r="S29" s="1" t="str">
        <f t="shared" si="5"/>
        <v/>
      </c>
      <c r="T29" s="1"/>
      <c r="U29" s="35" t="str">
        <f t="shared" si="2"/>
        <v/>
      </c>
    </row>
    <row r="30" spans="1:21" x14ac:dyDescent="0.25">
      <c r="A30" s="26"/>
      <c r="B30" s="26"/>
      <c r="C30" s="26"/>
      <c r="D30" s="26"/>
      <c r="E30" s="26"/>
      <c r="F30" s="26"/>
      <c r="L30" s="26">
        <v>27</v>
      </c>
      <c r="M30" t="s">
        <v>69</v>
      </c>
      <c r="N30" s="1" t="str">
        <f t="shared" si="0"/>
        <v/>
      </c>
      <c r="O30" s="31"/>
      <c r="P30" s="34" t="str">
        <f t="shared" si="1"/>
        <v/>
      </c>
      <c r="R30" t="s">
        <v>69</v>
      </c>
      <c r="S30" s="1" t="str">
        <f t="shared" si="5"/>
        <v/>
      </c>
      <c r="T30" s="1"/>
      <c r="U30" s="35" t="str">
        <f t="shared" si="2"/>
        <v/>
      </c>
    </row>
    <row r="31" spans="1:21" x14ac:dyDescent="0.25">
      <c r="A31" s="26"/>
      <c r="B31" s="26"/>
      <c r="C31" s="26"/>
      <c r="D31" s="26"/>
      <c r="E31" s="26"/>
      <c r="F31" s="26"/>
      <c r="L31" s="26">
        <v>28</v>
      </c>
      <c r="M31" t="s">
        <v>292</v>
      </c>
      <c r="N31" s="1" t="str">
        <f t="shared" si="0"/>
        <v/>
      </c>
      <c r="O31" s="31"/>
      <c r="P31" s="34" t="str">
        <f t="shared" si="1"/>
        <v/>
      </c>
      <c r="R31" t="s">
        <v>292</v>
      </c>
      <c r="S31" s="1" t="str">
        <f t="shared" si="5"/>
        <v/>
      </c>
      <c r="T31" s="1"/>
      <c r="U31" s="35" t="str">
        <f t="shared" si="2"/>
        <v/>
      </c>
    </row>
    <row r="32" spans="1:21" x14ac:dyDescent="0.25">
      <c r="A32" s="26"/>
      <c r="B32" s="26"/>
      <c r="C32" s="26"/>
      <c r="D32" s="26"/>
      <c r="E32" s="26"/>
      <c r="F32" s="26"/>
      <c r="L32" s="26">
        <v>29</v>
      </c>
      <c r="M32" t="s">
        <v>291</v>
      </c>
      <c r="N32" s="1" t="str">
        <f t="shared" si="0"/>
        <v/>
      </c>
      <c r="O32" s="31"/>
      <c r="P32" s="34" t="str">
        <f t="shared" si="1"/>
        <v/>
      </c>
      <c r="R32" t="s">
        <v>291</v>
      </c>
      <c r="S32" s="1" t="str">
        <f t="shared" si="5"/>
        <v/>
      </c>
      <c r="T32" s="1"/>
      <c r="U32" s="35" t="str">
        <f t="shared" si="2"/>
        <v/>
      </c>
    </row>
    <row r="33" spans="1:21" x14ac:dyDescent="0.25">
      <c r="A33" s="26"/>
      <c r="B33" s="26"/>
      <c r="C33" s="26"/>
      <c r="D33" s="26"/>
      <c r="E33" s="26"/>
      <c r="F33" s="26"/>
      <c r="L33" s="26">
        <v>30</v>
      </c>
      <c r="M33" t="s">
        <v>290</v>
      </c>
      <c r="N33" s="1" t="str">
        <f t="shared" si="0"/>
        <v/>
      </c>
      <c r="O33" s="31"/>
      <c r="P33" s="34" t="str">
        <f t="shared" si="1"/>
        <v/>
      </c>
      <c r="R33" t="s">
        <v>290</v>
      </c>
      <c r="S33" s="1" t="str">
        <f t="shared" si="5"/>
        <v/>
      </c>
      <c r="T33" s="1"/>
      <c r="U33" s="35" t="str">
        <f t="shared" si="2"/>
        <v/>
      </c>
    </row>
    <row r="34" spans="1:21" x14ac:dyDescent="0.25">
      <c r="A34" s="26"/>
      <c r="B34" s="26"/>
      <c r="C34" s="26"/>
      <c r="D34" s="26"/>
      <c r="E34" s="26"/>
      <c r="F34" s="26"/>
      <c r="L34" s="26">
        <v>31</v>
      </c>
      <c r="M34" t="s">
        <v>289</v>
      </c>
      <c r="N34" s="1" t="str">
        <f t="shared" si="0"/>
        <v/>
      </c>
      <c r="O34" s="31"/>
      <c r="P34" s="34" t="str">
        <f t="shared" si="1"/>
        <v/>
      </c>
      <c r="R34" t="s">
        <v>289</v>
      </c>
      <c r="S34" s="1" t="str">
        <f t="shared" si="5"/>
        <v/>
      </c>
      <c r="T34" s="1"/>
      <c r="U34" s="35" t="str">
        <f t="shared" si="2"/>
        <v/>
      </c>
    </row>
    <row r="35" spans="1:21" x14ac:dyDescent="0.25">
      <c r="A35" s="26"/>
      <c r="B35" s="26"/>
      <c r="C35" s="26"/>
      <c r="D35" s="26"/>
      <c r="E35" s="26"/>
      <c r="F35" s="26"/>
      <c r="L35" s="26">
        <v>32</v>
      </c>
      <c r="M35" t="s">
        <v>288</v>
      </c>
      <c r="N35" s="1" t="str">
        <f t="shared" si="0"/>
        <v/>
      </c>
      <c r="O35" s="31"/>
      <c r="P35" s="34" t="str">
        <f t="shared" si="1"/>
        <v/>
      </c>
      <c r="R35" t="s">
        <v>288</v>
      </c>
      <c r="S35" s="1" t="str">
        <f t="shared" si="5"/>
        <v/>
      </c>
      <c r="T35" s="1"/>
      <c r="U35" s="35" t="str">
        <f t="shared" si="2"/>
        <v/>
      </c>
    </row>
    <row r="36" spans="1:21" x14ac:dyDescent="0.25">
      <c r="A36" s="26"/>
      <c r="B36" s="26"/>
      <c r="C36" s="26"/>
      <c r="D36" s="26"/>
      <c r="E36" s="26"/>
      <c r="F36" s="26"/>
      <c r="L36" s="26">
        <v>33</v>
      </c>
      <c r="M36" t="s">
        <v>287</v>
      </c>
      <c r="N36" s="1" t="str">
        <f t="shared" si="0"/>
        <v/>
      </c>
      <c r="O36" s="31"/>
      <c r="P36" s="34" t="str">
        <f t="shared" si="1"/>
        <v/>
      </c>
      <c r="R36" t="s">
        <v>287</v>
      </c>
      <c r="S36" s="1" t="str">
        <f t="shared" si="5"/>
        <v/>
      </c>
      <c r="T36" s="1"/>
      <c r="U36" s="35" t="str">
        <f t="shared" si="2"/>
        <v/>
      </c>
    </row>
    <row r="37" spans="1:21" x14ac:dyDescent="0.25">
      <c r="A37" s="26"/>
      <c r="B37" s="26"/>
      <c r="C37" s="26"/>
      <c r="D37" s="26"/>
      <c r="E37" s="26"/>
      <c r="F37" s="26"/>
      <c r="L37" s="26">
        <v>34</v>
      </c>
      <c r="M37" t="s">
        <v>286</v>
      </c>
      <c r="N37" s="1" t="str">
        <f t="shared" si="0"/>
        <v/>
      </c>
      <c r="O37" s="31"/>
      <c r="P37" s="34" t="str">
        <f t="shared" si="1"/>
        <v/>
      </c>
      <c r="R37" t="s">
        <v>286</v>
      </c>
      <c r="S37" s="1" t="str">
        <f t="shared" si="5"/>
        <v/>
      </c>
      <c r="T37" s="1"/>
      <c r="U37" s="35" t="str">
        <f t="shared" si="2"/>
        <v/>
      </c>
    </row>
    <row r="38" spans="1:21" x14ac:dyDescent="0.25">
      <c r="A38" s="26"/>
      <c r="B38" s="26"/>
      <c r="C38" s="26"/>
      <c r="D38" s="26"/>
      <c r="E38" s="26"/>
      <c r="F38" s="26"/>
      <c r="L38" s="26">
        <v>35</v>
      </c>
      <c r="M38" t="s">
        <v>285</v>
      </c>
      <c r="N38" s="1" t="str">
        <f t="shared" si="0"/>
        <v/>
      </c>
      <c r="O38" s="31"/>
      <c r="P38" s="34" t="str">
        <f t="shared" si="1"/>
        <v/>
      </c>
      <c r="R38" t="s">
        <v>285</v>
      </c>
      <c r="S38" s="1" t="str">
        <f t="shared" si="5"/>
        <v/>
      </c>
      <c r="T38" s="1"/>
      <c r="U38" s="35" t="str">
        <f t="shared" si="2"/>
        <v/>
      </c>
    </row>
    <row r="39" spans="1:21" x14ac:dyDescent="0.25">
      <c r="A39" s="26"/>
      <c r="B39" s="26"/>
      <c r="C39" s="26"/>
      <c r="D39" s="26"/>
      <c r="E39" s="26"/>
      <c r="F39" s="26"/>
      <c r="L39" s="26">
        <v>36</v>
      </c>
      <c r="M39" t="s">
        <v>284</v>
      </c>
      <c r="N39" s="1" t="str">
        <f t="shared" si="0"/>
        <v/>
      </c>
      <c r="O39" s="31"/>
      <c r="P39" s="34" t="str">
        <f t="shared" si="1"/>
        <v/>
      </c>
      <c r="R39" t="s">
        <v>284</v>
      </c>
      <c r="S39" s="1" t="str">
        <f t="shared" si="5"/>
        <v/>
      </c>
      <c r="T39" s="1"/>
      <c r="U39" s="35" t="str">
        <f t="shared" si="2"/>
        <v/>
      </c>
    </row>
    <row r="40" spans="1:21" x14ac:dyDescent="0.25">
      <c r="A40" s="26"/>
      <c r="B40" s="26"/>
      <c r="C40" s="26"/>
      <c r="D40" s="26"/>
      <c r="E40" s="26"/>
      <c r="F40" s="26"/>
      <c r="L40" s="26">
        <v>37</v>
      </c>
      <c r="M40" t="s">
        <v>283</v>
      </c>
      <c r="N40" s="1" t="str">
        <f t="shared" si="0"/>
        <v/>
      </c>
      <c r="O40" s="31"/>
      <c r="P40" s="34" t="str">
        <f t="shared" si="1"/>
        <v/>
      </c>
      <c r="R40" t="s">
        <v>283</v>
      </c>
      <c r="S40" s="1" t="str">
        <f t="shared" si="5"/>
        <v/>
      </c>
      <c r="T40" s="1"/>
      <c r="U40" s="35" t="str">
        <f t="shared" si="2"/>
        <v/>
      </c>
    </row>
    <row r="41" spans="1:21" x14ac:dyDescent="0.25">
      <c r="A41" s="26"/>
      <c r="B41" s="26"/>
      <c r="C41" s="26"/>
      <c r="D41" s="26"/>
      <c r="E41" s="26"/>
      <c r="F41" s="26"/>
      <c r="L41" s="26">
        <v>38</v>
      </c>
      <c r="M41" t="s">
        <v>282</v>
      </c>
      <c r="N41" s="1" t="str">
        <f t="shared" si="0"/>
        <v/>
      </c>
      <c r="O41" s="31"/>
      <c r="P41" s="34" t="str">
        <f t="shared" si="1"/>
        <v/>
      </c>
      <c r="R41" t="s">
        <v>282</v>
      </c>
      <c r="S41" s="1" t="str">
        <f t="shared" si="5"/>
        <v/>
      </c>
      <c r="T41" s="1"/>
      <c r="U41" s="35" t="str">
        <f t="shared" si="2"/>
        <v/>
      </c>
    </row>
    <row r="42" spans="1:21" x14ac:dyDescent="0.25">
      <c r="A42" s="26"/>
      <c r="B42" s="26"/>
      <c r="C42" s="26"/>
      <c r="D42" s="26"/>
      <c r="E42" s="26"/>
      <c r="F42" s="26"/>
      <c r="L42" s="26">
        <v>39</v>
      </c>
      <c r="M42" t="s">
        <v>281</v>
      </c>
      <c r="N42" s="1" t="str">
        <f t="shared" si="0"/>
        <v/>
      </c>
      <c r="O42" s="31"/>
      <c r="P42" s="34" t="str">
        <f t="shared" si="1"/>
        <v/>
      </c>
      <c r="R42" t="s">
        <v>281</v>
      </c>
      <c r="S42" s="1" t="str">
        <f t="shared" si="5"/>
        <v/>
      </c>
      <c r="T42" s="1"/>
      <c r="U42" s="35" t="str">
        <f t="shared" si="2"/>
        <v/>
      </c>
    </row>
    <row r="43" spans="1:21" x14ac:dyDescent="0.25">
      <c r="A43" s="26"/>
      <c r="B43" s="26"/>
      <c r="C43" s="26"/>
      <c r="D43" s="26"/>
      <c r="E43" s="26"/>
      <c r="F43" s="26"/>
      <c r="L43" s="26">
        <v>40</v>
      </c>
      <c r="M43" t="s">
        <v>280</v>
      </c>
      <c r="N43" s="1" t="str">
        <f t="shared" si="0"/>
        <v/>
      </c>
      <c r="O43" s="31"/>
      <c r="P43" s="34" t="str">
        <f t="shared" si="1"/>
        <v/>
      </c>
      <c r="R43" t="s">
        <v>280</v>
      </c>
      <c r="S43" s="1" t="str">
        <f t="shared" si="5"/>
        <v/>
      </c>
      <c r="T43" s="1"/>
      <c r="U43" s="35" t="str">
        <f t="shared" si="2"/>
        <v/>
      </c>
    </row>
    <row r="44" spans="1:21" x14ac:dyDescent="0.25">
      <c r="A44" s="26"/>
      <c r="B44" s="26"/>
      <c r="C44" s="26"/>
      <c r="D44" s="26"/>
      <c r="E44" s="26"/>
      <c r="F44" s="26"/>
      <c r="L44" s="26">
        <v>41</v>
      </c>
      <c r="M44" t="s">
        <v>279</v>
      </c>
      <c r="N44" s="1" t="str">
        <f t="shared" si="0"/>
        <v/>
      </c>
      <c r="O44" s="31"/>
      <c r="P44" s="34" t="str">
        <f t="shared" si="1"/>
        <v/>
      </c>
      <c r="R44" t="s">
        <v>279</v>
      </c>
      <c r="S44" s="1" t="str">
        <f t="shared" si="5"/>
        <v/>
      </c>
      <c r="T44" s="1"/>
      <c r="U44" s="35" t="str">
        <f t="shared" si="2"/>
        <v/>
      </c>
    </row>
    <row r="45" spans="1:21" x14ac:dyDescent="0.25">
      <c r="A45" s="26"/>
      <c r="B45" s="26"/>
      <c r="C45" s="26"/>
      <c r="D45" s="26"/>
      <c r="E45" s="26"/>
      <c r="F45" s="26"/>
      <c r="L45" s="26">
        <v>42</v>
      </c>
      <c r="M45" t="s">
        <v>278</v>
      </c>
      <c r="N45" s="1" t="str">
        <f t="shared" si="0"/>
        <v/>
      </c>
      <c r="O45" s="31"/>
      <c r="P45" s="34" t="str">
        <f t="shared" si="1"/>
        <v/>
      </c>
      <c r="R45" t="s">
        <v>278</v>
      </c>
      <c r="S45" s="1" t="str">
        <f t="shared" si="5"/>
        <v/>
      </c>
      <c r="T45" s="1"/>
      <c r="U45" s="35" t="str">
        <f t="shared" si="2"/>
        <v/>
      </c>
    </row>
    <row r="46" spans="1:21" x14ac:dyDescent="0.25">
      <c r="A46" s="26"/>
      <c r="B46" s="26"/>
      <c r="C46" s="26"/>
      <c r="D46" s="26"/>
      <c r="E46" s="26"/>
      <c r="F46" s="26"/>
      <c r="L46" s="26">
        <v>43</v>
      </c>
      <c r="M46" t="s">
        <v>277</v>
      </c>
      <c r="N46" s="1" t="str">
        <f t="shared" si="0"/>
        <v/>
      </c>
      <c r="O46" s="31"/>
      <c r="P46" s="34" t="str">
        <f t="shared" si="1"/>
        <v/>
      </c>
      <c r="R46" t="s">
        <v>277</v>
      </c>
      <c r="S46" s="1" t="str">
        <f t="shared" si="5"/>
        <v/>
      </c>
      <c r="T46" s="1"/>
      <c r="U46" s="35" t="str">
        <f t="shared" si="2"/>
        <v/>
      </c>
    </row>
    <row r="47" spans="1:21" x14ac:dyDescent="0.25">
      <c r="A47" s="26"/>
      <c r="B47" s="26"/>
      <c r="C47" s="26"/>
      <c r="D47" s="26"/>
      <c r="E47" s="26"/>
      <c r="F47" s="26"/>
      <c r="L47" s="26">
        <v>44</v>
      </c>
      <c r="M47" t="s">
        <v>276</v>
      </c>
      <c r="N47" s="1" t="str">
        <f t="shared" si="0"/>
        <v/>
      </c>
      <c r="O47" s="31"/>
      <c r="P47" s="34" t="str">
        <f t="shared" si="1"/>
        <v/>
      </c>
      <c r="R47" t="s">
        <v>276</v>
      </c>
      <c r="S47" s="1" t="str">
        <f t="shared" si="5"/>
        <v/>
      </c>
      <c r="T47" s="1"/>
      <c r="U47" s="35" t="str">
        <f t="shared" si="2"/>
        <v/>
      </c>
    </row>
    <row r="48" spans="1:21" x14ac:dyDescent="0.25">
      <c r="A48" s="26"/>
      <c r="B48" s="26"/>
      <c r="C48" s="26"/>
      <c r="D48" s="26"/>
      <c r="E48" s="26"/>
      <c r="F48" s="26"/>
      <c r="L48" s="26">
        <v>45</v>
      </c>
      <c r="M48" t="s">
        <v>275</v>
      </c>
      <c r="N48" s="1" t="str">
        <f t="shared" si="0"/>
        <v/>
      </c>
      <c r="O48" s="31"/>
      <c r="P48" s="34" t="str">
        <f t="shared" si="1"/>
        <v/>
      </c>
      <c r="R48" t="s">
        <v>275</v>
      </c>
      <c r="S48" s="1" t="str">
        <f t="shared" si="5"/>
        <v/>
      </c>
      <c r="T48" s="1"/>
      <c r="U48" s="35" t="str">
        <f t="shared" si="2"/>
        <v/>
      </c>
    </row>
    <row r="49" spans="1:21" x14ac:dyDescent="0.25">
      <c r="A49" s="26"/>
      <c r="B49" s="26"/>
      <c r="C49" s="26"/>
      <c r="D49" s="26"/>
      <c r="E49" s="26"/>
      <c r="F49" s="26"/>
      <c r="L49" s="26">
        <v>46</v>
      </c>
      <c r="M49" t="s">
        <v>274</v>
      </c>
      <c r="N49" s="1" t="str">
        <f t="shared" si="0"/>
        <v/>
      </c>
      <c r="O49" s="31"/>
      <c r="P49" s="34" t="str">
        <f t="shared" si="1"/>
        <v/>
      </c>
      <c r="R49" t="s">
        <v>274</v>
      </c>
      <c r="S49" s="1" t="str">
        <f t="shared" si="5"/>
        <v/>
      </c>
      <c r="T49" s="1"/>
      <c r="U49" s="35" t="str">
        <f t="shared" si="2"/>
        <v/>
      </c>
    </row>
    <row r="50" spans="1:21" x14ac:dyDescent="0.25">
      <c r="A50" s="26"/>
      <c r="B50" s="26"/>
      <c r="C50" s="26"/>
      <c r="D50" s="26"/>
      <c r="E50" s="26"/>
      <c r="F50" s="26"/>
      <c r="L50" s="26">
        <v>47</v>
      </c>
      <c r="M50" t="s">
        <v>273</v>
      </c>
      <c r="N50" s="1" t="str">
        <f t="shared" si="0"/>
        <v/>
      </c>
      <c r="O50" s="31"/>
      <c r="P50" s="34" t="str">
        <f t="shared" si="1"/>
        <v/>
      </c>
      <c r="R50" t="s">
        <v>273</v>
      </c>
      <c r="S50" s="1" t="str">
        <f t="shared" si="5"/>
        <v/>
      </c>
      <c r="T50" s="1"/>
      <c r="U50" s="35" t="str">
        <f t="shared" si="2"/>
        <v/>
      </c>
    </row>
    <row r="51" spans="1:21" x14ac:dyDescent="0.25">
      <c r="A51" s="26"/>
      <c r="B51" s="26"/>
      <c r="C51" s="26"/>
      <c r="D51" s="26"/>
      <c r="E51" s="26"/>
      <c r="F51" s="26"/>
      <c r="L51" s="26">
        <v>48</v>
      </c>
      <c r="M51" t="s">
        <v>272</v>
      </c>
      <c r="N51" s="1" t="str">
        <f t="shared" si="0"/>
        <v/>
      </c>
      <c r="O51" s="31"/>
      <c r="P51" s="34" t="str">
        <f t="shared" si="1"/>
        <v/>
      </c>
      <c r="R51" t="s">
        <v>272</v>
      </c>
      <c r="S51" s="1" t="str">
        <f t="shared" si="5"/>
        <v/>
      </c>
      <c r="T51" s="1"/>
      <c r="U51" s="35" t="str">
        <f t="shared" si="2"/>
        <v/>
      </c>
    </row>
    <row r="52" spans="1:21" x14ac:dyDescent="0.25">
      <c r="A52" s="26"/>
      <c r="B52" s="26"/>
      <c r="C52" s="26"/>
      <c r="D52" s="26"/>
      <c r="E52" s="26"/>
      <c r="F52" s="26"/>
      <c r="L52" s="26">
        <v>49</v>
      </c>
      <c r="M52" t="s">
        <v>271</v>
      </c>
      <c r="N52" s="1" t="str">
        <f t="shared" si="0"/>
        <v/>
      </c>
      <c r="O52" s="31"/>
      <c r="P52" s="34" t="str">
        <f t="shared" si="1"/>
        <v/>
      </c>
      <c r="R52" t="s">
        <v>271</v>
      </c>
      <c r="S52" s="1" t="str">
        <f t="shared" si="5"/>
        <v/>
      </c>
      <c r="T52" s="1"/>
      <c r="U52" s="35" t="str">
        <f t="shared" si="2"/>
        <v/>
      </c>
    </row>
    <row r="53" spans="1:21" x14ac:dyDescent="0.25">
      <c r="A53" s="26"/>
      <c r="B53" s="26"/>
      <c r="C53" s="26"/>
      <c r="D53" s="26"/>
      <c r="E53" s="26"/>
      <c r="F53" s="26"/>
      <c r="L53" s="26">
        <v>50</v>
      </c>
      <c r="M53" t="s">
        <v>270</v>
      </c>
      <c r="N53" s="1" t="str">
        <f t="shared" si="0"/>
        <v/>
      </c>
      <c r="O53" s="31"/>
      <c r="P53" s="34" t="str">
        <f t="shared" si="1"/>
        <v/>
      </c>
      <c r="R53" t="s">
        <v>270</v>
      </c>
      <c r="S53" s="1" t="str">
        <f t="shared" si="5"/>
        <v/>
      </c>
      <c r="T53" s="1"/>
      <c r="U53" s="35" t="str">
        <f t="shared" si="2"/>
        <v/>
      </c>
    </row>
    <row r="54" spans="1:21" x14ac:dyDescent="0.25">
      <c r="A54" s="26"/>
      <c r="B54" s="26"/>
      <c r="C54" s="26"/>
      <c r="D54" s="26"/>
      <c r="E54" s="26"/>
      <c r="F54" s="26"/>
      <c r="L54" s="26">
        <v>51</v>
      </c>
      <c r="M54" t="s">
        <v>269</v>
      </c>
      <c r="N54" s="1" t="str">
        <f t="shared" si="0"/>
        <v/>
      </c>
      <c r="O54" s="31"/>
      <c r="P54" s="34" t="str">
        <f t="shared" si="1"/>
        <v/>
      </c>
      <c r="R54" t="s">
        <v>269</v>
      </c>
      <c r="S54" s="1" t="str">
        <f t="shared" si="5"/>
        <v/>
      </c>
      <c r="T54" s="1"/>
      <c r="U54" s="35" t="str">
        <f t="shared" si="2"/>
        <v/>
      </c>
    </row>
    <row r="55" spans="1:21" x14ac:dyDescent="0.25">
      <c r="A55" s="26"/>
      <c r="B55" s="26"/>
      <c r="C55" s="26"/>
      <c r="D55" s="26"/>
      <c r="E55" s="26"/>
      <c r="F55" s="26"/>
      <c r="L55" s="26">
        <v>52</v>
      </c>
      <c r="M55" t="s">
        <v>268</v>
      </c>
      <c r="N55" s="1" t="str">
        <f t="shared" si="0"/>
        <v/>
      </c>
      <c r="O55" s="31"/>
      <c r="P55" s="34" t="str">
        <f t="shared" si="1"/>
        <v/>
      </c>
      <c r="R55" t="s">
        <v>268</v>
      </c>
      <c r="S55" s="1" t="str">
        <f t="shared" si="5"/>
        <v/>
      </c>
      <c r="T55" s="1"/>
      <c r="U55" s="35" t="str">
        <f t="shared" si="2"/>
        <v/>
      </c>
    </row>
    <row r="56" spans="1:21" x14ac:dyDescent="0.25">
      <c r="A56" s="26"/>
      <c r="B56" s="26"/>
      <c r="C56" s="26"/>
      <c r="D56" s="26"/>
      <c r="E56" s="26"/>
      <c r="F56" s="26"/>
      <c r="L56" s="26">
        <v>53</v>
      </c>
      <c r="M56" t="s">
        <v>267</v>
      </c>
      <c r="N56" s="1" t="str">
        <f t="shared" si="0"/>
        <v/>
      </c>
      <c r="O56" s="31"/>
      <c r="P56" s="34" t="str">
        <f t="shared" si="1"/>
        <v/>
      </c>
      <c r="R56" t="s">
        <v>267</v>
      </c>
      <c r="S56" s="1" t="str">
        <f t="shared" si="5"/>
        <v/>
      </c>
      <c r="T56" s="1"/>
      <c r="U56" s="35" t="str">
        <f t="shared" si="2"/>
        <v/>
      </c>
    </row>
    <row r="57" spans="1:21" x14ac:dyDescent="0.25">
      <c r="A57" s="26"/>
      <c r="B57" s="26"/>
      <c r="C57" s="26"/>
      <c r="D57" s="26"/>
      <c r="E57" s="26"/>
      <c r="F57" s="26"/>
      <c r="L57" s="26">
        <v>54</v>
      </c>
      <c r="M57" t="s">
        <v>266</v>
      </c>
      <c r="N57" s="1" t="str">
        <f t="shared" si="0"/>
        <v/>
      </c>
      <c r="O57" s="31"/>
      <c r="P57" s="34" t="str">
        <f t="shared" si="1"/>
        <v/>
      </c>
      <c r="R57" t="s">
        <v>266</v>
      </c>
      <c r="S57" s="1" t="str">
        <f t="shared" si="5"/>
        <v/>
      </c>
      <c r="T57" s="1"/>
      <c r="U57" s="35" t="str">
        <f t="shared" si="2"/>
        <v/>
      </c>
    </row>
    <row r="58" spans="1:21" x14ac:dyDescent="0.25">
      <c r="A58" s="26"/>
      <c r="B58" s="26"/>
      <c r="C58" s="26"/>
      <c r="D58" s="26"/>
      <c r="E58" s="26"/>
      <c r="F58" s="26"/>
      <c r="L58" s="26">
        <v>55</v>
      </c>
      <c r="M58" t="s">
        <v>265</v>
      </c>
      <c r="N58" s="1" t="str">
        <f t="shared" si="0"/>
        <v/>
      </c>
      <c r="O58" s="31"/>
      <c r="P58" s="34" t="str">
        <f t="shared" si="1"/>
        <v/>
      </c>
      <c r="R58" t="s">
        <v>265</v>
      </c>
      <c r="S58" s="1" t="str">
        <f t="shared" si="5"/>
        <v/>
      </c>
      <c r="T58" s="1"/>
      <c r="U58" s="35" t="str">
        <f t="shared" si="2"/>
        <v/>
      </c>
    </row>
    <row r="59" spans="1:21" x14ac:dyDescent="0.25">
      <c r="A59" s="26"/>
      <c r="B59" s="26"/>
      <c r="C59" s="26"/>
      <c r="D59" s="26"/>
      <c r="E59" s="26"/>
      <c r="F59" s="26"/>
      <c r="L59" s="26">
        <v>56</v>
      </c>
      <c r="M59" t="s">
        <v>264</v>
      </c>
      <c r="N59" s="1" t="str">
        <f t="shared" si="0"/>
        <v/>
      </c>
      <c r="O59" s="31"/>
      <c r="P59" s="34" t="str">
        <f t="shared" si="1"/>
        <v/>
      </c>
      <c r="R59" t="s">
        <v>264</v>
      </c>
      <c r="S59" s="1" t="str">
        <f t="shared" si="5"/>
        <v/>
      </c>
      <c r="T59" s="1"/>
      <c r="U59" s="35" t="str">
        <f t="shared" si="2"/>
        <v/>
      </c>
    </row>
    <row r="60" spans="1:21" x14ac:dyDescent="0.25">
      <c r="A60" s="26"/>
      <c r="B60" s="26"/>
      <c r="C60" s="26"/>
      <c r="D60" s="26"/>
      <c r="E60" s="26"/>
      <c r="F60" s="26"/>
      <c r="L60" s="26">
        <v>57</v>
      </c>
      <c r="M60" t="s">
        <v>263</v>
      </c>
      <c r="N60" s="1" t="str">
        <f t="shared" si="0"/>
        <v/>
      </c>
      <c r="O60" s="31"/>
      <c r="P60" s="34" t="str">
        <f t="shared" si="1"/>
        <v/>
      </c>
      <c r="R60" t="s">
        <v>263</v>
      </c>
      <c r="S60" s="1" t="str">
        <f t="shared" si="5"/>
        <v/>
      </c>
      <c r="T60" s="1"/>
      <c r="U60" s="35" t="str">
        <f t="shared" si="2"/>
        <v/>
      </c>
    </row>
    <row r="61" spans="1:21" x14ac:dyDescent="0.25">
      <c r="A61" s="26"/>
      <c r="B61" s="26"/>
      <c r="C61" s="26"/>
      <c r="D61" s="26"/>
      <c r="E61" s="26"/>
      <c r="F61" s="26"/>
      <c r="L61" s="26">
        <v>58</v>
      </c>
      <c r="M61" t="s">
        <v>262</v>
      </c>
      <c r="N61" s="1" t="str">
        <f t="shared" si="0"/>
        <v/>
      </c>
      <c r="O61" s="31"/>
      <c r="P61" s="34" t="str">
        <f t="shared" si="1"/>
        <v/>
      </c>
      <c r="R61" t="s">
        <v>262</v>
      </c>
      <c r="S61" s="1" t="str">
        <f t="shared" si="5"/>
        <v/>
      </c>
      <c r="T61" s="1"/>
      <c r="U61" s="35" t="str">
        <f t="shared" si="2"/>
        <v/>
      </c>
    </row>
    <row r="62" spans="1:21" x14ac:dyDescent="0.25">
      <c r="A62" s="26"/>
      <c r="B62" s="26"/>
      <c r="C62" s="26"/>
      <c r="D62" s="26"/>
      <c r="E62" s="26"/>
      <c r="F62" s="26"/>
      <c r="L62" s="26">
        <v>59</v>
      </c>
      <c r="M62" t="s">
        <v>261</v>
      </c>
      <c r="N62" s="1" t="str">
        <f t="shared" si="0"/>
        <v/>
      </c>
      <c r="O62" s="31"/>
      <c r="P62" s="34" t="str">
        <f t="shared" si="1"/>
        <v/>
      </c>
      <c r="R62" t="s">
        <v>261</v>
      </c>
      <c r="S62" s="1" t="str">
        <f t="shared" si="5"/>
        <v/>
      </c>
      <c r="T62" s="1"/>
      <c r="U62" s="35" t="str">
        <f t="shared" si="2"/>
        <v/>
      </c>
    </row>
    <row r="63" spans="1:21" x14ac:dyDescent="0.25">
      <c r="A63" s="26"/>
      <c r="B63" s="26"/>
      <c r="C63" s="26"/>
      <c r="D63" s="26"/>
      <c r="E63" s="26"/>
      <c r="F63" s="26"/>
      <c r="L63" s="26">
        <v>60</v>
      </c>
      <c r="M63" t="s">
        <v>260</v>
      </c>
      <c r="N63" s="1" t="str">
        <f t="shared" si="0"/>
        <v/>
      </c>
      <c r="O63" s="31"/>
      <c r="P63" s="34" t="str">
        <f t="shared" si="1"/>
        <v/>
      </c>
      <c r="R63" t="s">
        <v>260</v>
      </c>
      <c r="S63" s="1" t="str">
        <f t="shared" si="5"/>
        <v/>
      </c>
      <c r="T63" s="1"/>
      <c r="U63" s="35" t="str">
        <f t="shared" si="2"/>
        <v/>
      </c>
    </row>
    <row r="64" spans="1:21" x14ac:dyDescent="0.25">
      <c r="A64" s="26"/>
      <c r="B64" s="26"/>
      <c r="C64" s="26"/>
      <c r="D64" s="26"/>
      <c r="E64" s="26"/>
      <c r="F64" s="26"/>
      <c r="L64" s="26">
        <v>61</v>
      </c>
      <c r="M64" t="s">
        <v>259</v>
      </c>
      <c r="N64" s="1" t="str">
        <f t="shared" si="0"/>
        <v/>
      </c>
      <c r="O64" s="31"/>
      <c r="P64" s="34" t="str">
        <f t="shared" si="1"/>
        <v/>
      </c>
      <c r="R64" t="s">
        <v>259</v>
      </c>
      <c r="S64" s="1" t="str">
        <f t="shared" si="5"/>
        <v/>
      </c>
      <c r="T64" s="1"/>
      <c r="U64" s="35" t="str">
        <f t="shared" si="2"/>
        <v/>
      </c>
    </row>
    <row r="65" spans="1:21" x14ac:dyDescent="0.25">
      <c r="A65" s="26"/>
      <c r="B65" s="26"/>
      <c r="C65" s="26"/>
      <c r="D65" s="26"/>
      <c r="E65" s="26"/>
      <c r="F65" s="26"/>
      <c r="L65" s="26">
        <v>62</v>
      </c>
      <c r="M65" t="s">
        <v>258</v>
      </c>
      <c r="N65" s="1" t="str">
        <f t="shared" si="0"/>
        <v/>
      </c>
      <c r="O65" s="31"/>
      <c r="P65" s="34" t="str">
        <f t="shared" si="1"/>
        <v/>
      </c>
      <c r="R65" t="s">
        <v>258</v>
      </c>
      <c r="S65" s="1" t="str">
        <f t="shared" si="5"/>
        <v/>
      </c>
      <c r="T65" s="1"/>
      <c r="U65" s="35" t="str">
        <f t="shared" si="2"/>
        <v/>
      </c>
    </row>
    <row r="66" spans="1:21" x14ac:dyDescent="0.25">
      <c r="A66" s="26"/>
      <c r="B66" s="26"/>
      <c r="C66" s="26"/>
      <c r="D66" s="26"/>
      <c r="E66" s="26"/>
      <c r="F66" s="26"/>
      <c r="L66" s="26">
        <v>63</v>
      </c>
      <c r="M66" t="s">
        <v>257</v>
      </c>
      <c r="N66" s="1" t="str">
        <f t="shared" si="0"/>
        <v/>
      </c>
      <c r="O66" s="31"/>
      <c r="P66" s="34" t="str">
        <f t="shared" si="1"/>
        <v/>
      </c>
      <c r="R66" t="s">
        <v>257</v>
      </c>
      <c r="S66" s="1" t="str">
        <f t="shared" si="5"/>
        <v/>
      </c>
      <c r="T66" s="1"/>
      <c r="U66" s="35" t="str">
        <f t="shared" si="2"/>
        <v/>
      </c>
    </row>
    <row r="67" spans="1:21" x14ac:dyDescent="0.25">
      <c r="A67" s="26"/>
      <c r="B67" s="26"/>
      <c r="C67" s="26"/>
      <c r="D67" s="26"/>
      <c r="E67" s="26"/>
      <c r="F67" s="26"/>
      <c r="L67" s="26">
        <v>64</v>
      </c>
      <c r="M67" t="s">
        <v>256</v>
      </c>
      <c r="N67" s="1" t="str">
        <f t="shared" si="0"/>
        <v/>
      </c>
      <c r="O67" s="31"/>
      <c r="P67" s="34" t="str">
        <f t="shared" si="1"/>
        <v/>
      </c>
      <c r="R67" t="s">
        <v>256</v>
      </c>
      <c r="S67" s="1" t="str">
        <f t="shared" si="5"/>
        <v/>
      </c>
      <c r="T67" s="1"/>
      <c r="U67" s="35" t="str">
        <f t="shared" si="2"/>
        <v/>
      </c>
    </row>
    <row r="68" spans="1:21" x14ac:dyDescent="0.25">
      <c r="A68" s="26"/>
      <c r="B68" s="26"/>
      <c r="C68" s="26"/>
      <c r="D68" s="26"/>
      <c r="E68" s="26"/>
      <c r="F68" s="26"/>
      <c r="L68" s="26">
        <v>65</v>
      </c>
      <c r="M68" t="s">
        <v>255</v>
      </c>
      <c r="N68" s="1" t="str">
        <f t="shared" si="0"/>
        <v/>
      </c>
      <c r="O68" s="31"/>
      <c r="P68" s="34" t="str">
        <f t="shared" si="1"/>
        <v/>
      </c>
      <c r="R68" t="s">
        <v>255</v>
      </c>
      <c r="S68" s="1" t="str">
        <f t="shared" si="5"/>
        <v/>
      </c>
      <c r="T68" s="1"/>
      <c r="U68" s="35" t="str">
        <f t="shared" si="2"/>
        <v/>
      </c>
    </row>
    <row r="69" spans="1:21" x14ac:dyDescent="0.25">
      <c r="A69" s="26"/>
      <c r="B69" s="26"/>
      <c r="C69" s="26"/>
      <c r="D69" s="26"/>
      <c r="E69" s="26"/>
      <c r="F69" s="26"/>
      <c r="L69" s="26">
        <v>66</v>
      </c>
      <c r="M69" t="s">
        <v>254</v>
      </c>
      <c r="N69" s="1" t="str">
        <f t="shared" ref="N69:N132" si="6">IF(L69&gt;$I$2,"",F69/$D$3-1)</f>
        <v/>
      </c>
      <c r="O69" s="31"/>
      <c r="P69" s="34" t="str">
        <f t="shared" ref="P69:P132" si="7">IF(AND(L69&lt;=$I$2,N69&lt;= -0.1),1,"")</f>
        <v/>
      </c>
      <c r="R69" t="s">
        <v>254</v>
      </c>
      <c r="S69" s="1" t="str">
        <f t="shared" si="5"/>
        <v/>
      </c>
      <c r="T69" s="1"/>
      <c r="U69" s="35" t="str">
        <f t="shared" ref="U69:U132" si="8">IF(AND(L69&lt;=$I$2,S69&gt;=0.2),1,"")</f>
        <v/>
      </c>
    </row>
    <row r="70" spans="1:21" x14ac:dyDescent="0.25">
      <c r="A70" s="26"/>
      <c r="B70" s="26"/>
      <c r="C70" s="26"/>
      <c r="D70" s="26"/>
      <c r="E70" s="26"/>
      <c r="F70" s="26"/>
      <c r="L70" s="26">
        <v>67</v>
      </c>
      <c r="M70" t="s">
        <v>253</v>
      </c>
      <c r="N70" s="1" t="str">
        <f t="shared" si="6"/>
        <v/>
      </c>
      <c r="O70" s="31"/>
      <c r="P70" s="34" t="str">
        <f t="shared" si="7"/>
        <v/>
      </c>
      <c r="R70" t="s">
        <v>253</v>
      </c>
      <c r="S70" s="1" t="str">
        <f t="shared" si="5"/>
        <v/>
      </c>
      <c r="T70" s="1"/>
      <c r="U70" s="35" t="str">
        <f t="shared" si="8"/>
        <v/>
      </c>
    </row>
    <row r="71" spans="1:21" x14ac:dyDescent="0.25">
      <c r="A71" s="26"/>
      <c r="B71" s="26"/>
      <c r="C71" s="26"/>
      <c r="D71" s="26"/>
      <c r="E71" s="26"/>
      <c r="F71" s="26"/>
      <c r="L71" s="26">
        <v>68</v>
      </c>
      <c r="M71" t="s">
        <v>252</v>
      </c>
      <c r="N71" s="1" t="str">
        <f t="shared" si="6"/>
        <v/>
      </c>
      <c r="O71" s="31"/>
      <c r="P71" s="34" t="str">
        <f t="shared" si="7"/>
        <v/>
      </c>
      <c r="R71" t="s">
        <v>252</v>
      </c>
      <c r="S71" s="1" t="str">
        <f t="shared" si="5"/>
        <v/>
      </c>
      <c r="T71" s="1"/>
      <c r="U71" s="35" t="str">
        <f t="shared" si="8"/>
        <v/>
      </c>
    </row>
    <row r="72" spans="1:21" x14ac:dyDescent="0.25">
      <c r="A72" s="26"/>
      <c r="B72" s="26"/>
      <c r="C72" s="26"/>
      <c r="D72" s="26"/>
      <c r="E72" s="26"/>
      <c r="F72" s="26"/>
      <c r="L72" s="26">
        <v>69</v>
      </c>
      <c r="M72" t="s">
        <v>251</v>
      </c>
      <c r="N72" s="1" t="str">
        <f t="shared" si="6"/>
        <v/>
      </c>
      <c r="O72" s="31"/>
      <c r="P72" s="34" t="str">
        <f t="shared" si="7"/>
        <v/>
      </c>
      <c r="R72" t="s">
        <v>251</v>
      </c>
      <c r="S72" s="1" t="str">
        <f t="shared" si="5"/>
        <v/>
      </c>
      <c r="T72" s="1"/>
      <c r="U72" s="35" t="str">
        <f t="shared" si="8"/>
        <v/>
      </c>
    </row>
    <row r="73" spans="1:21" x14ac:dyDescent="0.25">
      <c r="A73" s="26"/>
      <c r="B73" s="26"/>
      <c r="C73" s="26"/>
      <c r="D73" s="26"/>
      <c r="E73" s="26"/>
      <c r="F73" s="26"/>
      <c r="L73" s="26">
        <v>70</v>
      </c>
      <c r="M73" t="s">
        <v>250</v>
      </c>
      <c r="N73" s="1" t="str">
        <f t="shared" si="6"/>
        <v/>
      </c>
      <c r="O73" s="31"/>
      <c r="P73" s="34" t="str">
        <f t="shared" si="7"/>
        <v/>
      </c>
      <c r="R73" t="s">
        <v>250</v>
      </c>
      <c r="S73" s="1" t="str">
        <f t="shared" si="5"/>
        <v/>
      </c>
      <c r="T73" s="1"/>
      <c r="U73" s="35" t="str">
        <f t="shared" si="8"/>
        <v/>
      </c>
    </row>
    <row r="74" spans="1:21" x14ac:dyDescent="0.25">
      <c r="A74" s="26"/>
      <c r="B74" s="26"/>
      <c r="C74" s="26"/>
      <c r="D74" s="26"/>
      <c r="E74" s="26"/>
      <c r="F74" s="26"/>
      <c r="L74" s="26">
        <v>71</v>
      </c>
      <c r="M74" t="s">
        <v>249</v>
      </c>
      <c r="N74" s="1" t="str">
        <f t="shared" si="6"/>
        <v/>
      </c>
      <c r="O74" s="31"/>
      <c r="P74" s="34" t="str">
        <f t="shared" si="7"/>
        <v/>
      </c>
      <c r="R74" t="s">
        <v>249</v>
      </c>
      <c r="S74" s="1" t="str">
        <f t="shared" si="5"/>
        <v/>
      </c>
      <c r="T74" s="1"/>
      <c r="U74" s="35" t="str">
        <f t="shared" si="8"/>
        <v/>
      </c>
    </row>
    <row r="75" spans="1:21" x14ac:dyDescent="0.25">
      <c r="A75" s="26"/>
      <c r="B75" s="26"/>
      <c r="C75" s="26"/>
      <c r="D75" s="26"/>
      <c r="E75" s="26"/>
      <c r="F75" s="26"/>
      <c r="L75" s="26">
        <v>72</v>
      </c>
      <c r="M75" t="s">
        <v>248</v>
      </c>
      <c r="N75" s="1" t="str">
        <f t="shared" si="6"/>
        <v/>
      </c>
      <c r="O75" s="31"/>
      <c r="P75" s="34" t="str">
        <f t="shared" si="7"/>
        <v/>
      </c>
      <c r="R75" t="s">
        <v>248</v>
      </c>
      <c r="S75" s="1" t="str">
        <f t="shared" si="5"/>
        <v/>
      </c>
      <c r="T75" s="1"/>
      <c r="U75" s="35" t="str">
        <f t="shared" si="8"/>
        <v/>
      </c>
    </row>
    <row r="76" spans="1:21" x14ac:dyDescent="0.25">
      <c r="A76" s="26"/>
      <c r="B76" s="26"/>
      <c r="C76" s="26"/>
      <c r="D76" s="26"/>
      <c r="E76" s="26"/>
      <c r="F76" s="26"/>
      <c r="L76" s="26">
        <v>73</v>
      </c>
      <c r="M76" t="s">
        <v>247</v>
      </c>
      <c r="N76" s="1" t="str">
        <f t="shared" si="6"/>
        <v/>
      </c>
      <c r="O76" s="31"/>
      <c r="P76" s="34" t="str">
        <f t="shared" si="7"/>
        <v/>
      </c>
      <c r="R76" t="s">
        <v>247</v>
      </c>
      <c r="S76" s="1" t="str">
        <f t="shared" si="5"/>
        <v/>
      </c>
      <c r="T76" s="1"/>
      <c r="U76" s="35" t="str">
        <f t="shared" si="8"/>
        <v/>
      </c>
    </row>
    <row r="77" spans="1:21" x14ac:dyDescent="0.25">
      <c r="A77" s="26"/>
      <c r="B77" s="26"/>
      <c r="C77" s="26"/>
      <c r="D77" s="26"/>
      <c r="E77" s="26"/>
      <c r="F77" s="26"/>
      <c r="L77" s="26">
        <v>74</v>
      </c>
      <c r="M77" t="s">
        <v>246</v>
      </c>
      <c r="N77" s="1" t="str">
        <f t="shared" si="6"/>
        <v/>
      </c>
      <c r="O77" s="31"/>
      <c r="P77" s="34" t="str">
        <f t="shared" si="7"/>
        <v/>
      </c>
      <c r="R77" t="s">
        <v>246</v>
      </c>
      <c r="S77" s="1" t="str">
        <f t="shared" si="5"/>
        <v/>
      </c>
      <c r="T77" s="1"/>
      <c r="U77" s="35" t="str">
        <f t="shared" si="8"/>
        <v/>
      </c>
    </row>
    <row r="78" spans="1:21" x14ac:dyDescent="0.25">
      <c r="A78" s="26"/>
      <c r="B78" s="26"/>
      <c r="C78" s="26"/>
      <c r="D78" s="26"/>
      <c r="E78" s="26"/>
      <c r="F78" s="26"/>
      <c r="L78" s="26">
        <v>75</v>
      </c>
      <c r="M78" t="s">
        <v>245</v>
      </c>
      <c r="N78" s="1" t="str">
        <f t="shared" si="6"/>
        <v/>
      </c>
      <c r="O78" s="31"/>
      <c r="P78" s="34" t="str">
        <f t="shared" si="7"/>
        <v/>
      </c>
      <c r="R78" t="s">
        <v>245</v>
      </c>
      <c r="S78" s="1" t="str">
        <f t="shared" si="5"/>
        <v/>
      </c>
      <c r="T78" s="1"/>
      <c r="U78" s="35" t="str">
        <f t="shared" si="8"/>
        <v/>
      </c>
    </row>
    <row r="79" spans="1:21" x14ac:dyDescent="0.25">
      <c r="A79" s="26"/>
      <c r="B79" s="26"/>
      <c r="C79" s="26"/>
      <c r="D79" s="26"/>
      <c r="E79" s="26"/>
      <c r="F79" s="26"/>
      <c r="L79" s="26">
        <v>76</v>
      </c>
      <c r="M79" t="s">
        <v>244</v>
      </c>
      <c r="N79" s="1" t="str">
        <f t="shared" si="6"/>
        <v/>
      </c>
      <c r="O79" s="31"/>
      <c r="P79" s="34" t="str">
        <f t="shared" si="7"/>
        <v/>
      </c>
      <c r="R79" t="s">
        <v>244</v>
      </c>
      <c r="S79" s="1" t="str">
        <f t="shared" si="5"/>
        <v/>
      </c>
      <c r="T79" s="1"/>
      <c r="U79" s="35" t="str">
        <f t="shared" si="8"/>
        <v/>
      </c>
    </row>
    <row r="80" spans="1:21" x14ac:dyDescent="0.25">
      <c r="A80" s="26"/>
      <c r="B80" s="26"/>
      <c r="C80" s="26"/>
      <c r="D80" s="26"/>
      <c r="E80" s="26"/>
      <c r="F80" s="26"/>
      <c r="L80" s="26">
        <v>77</v>
      </c>
      <c r="M80" t="s">
        <v>243</v>
      </c>
      <c r="N80" s="1" t="str">
        <f t="shared" si="6"/>
        <v/>
      </c>
      <c r="O80" s="31"/>
      <c r="P80" s="34" t="str">
        <f t="shared" si="7"/>
        <v/>
      </c>
      <c r="R80" t="s">
        <v>243</v>
      </c>
      <c r="S80" s="1" t="str">
        <f t="shared" si="5"/>
        <v/>
      </c>
      <c r="T80" s="1"/>
      <c r="U80" s="35" t="str">
        <f t="shared" si="8"/>
        <v/>
      </c>
    </row>
    <row r="81" spans="1:21" x14ac:dyDescent="0.25">
      <c r="A81" s="26"/>
      <c r="B81" s="26"/>
      <c r="C81" s="26"/>
      <c r="D81" s="26"/>
      <c r="E81" s="26"/>
      <c r="F81" s="26"/>
      <c r="L81" s="26">
        <v>78</v>
      </c>
      <c r="M81" t="s">
        <v>242</v>
      </c>
      <c r="N81" s="1" t="str">
        <f t="shared" si="6"/>
        <v/>
      </c>
      <c r="O81" s="31"/>
      <c r="P81" s="34" t="str">
        <f t="shared" si="7"/>
        <v/>
      </c>
      <c r="R81" t="s">
        <v>242</v>
      </c>
      <c r="S81" s="1" t="str">
        <f t="shared" si="5"/>
        <v/>
      </c>
      <c r="T81" s="1"/>
      <c r="U81" s="35" t="str">
        <f t="shared" si="8"/>
        <v/>
      </c>
    </row>
    <row r="82" spans="1:21" x14ac:dyDescent="0.25">
      <c r="A82" s="26"/>
      <c r="B82" s="26"/>
      <c r="C82" s="26"/>
      <c r="D82" s="26"/>
      <c r="E82" s="26"/>
      <c r="F82" s="26"/>
      <c r="L82" s="26">
        <v>79</v>
      </c>
      <c r="M82" t="s">
        <v>241</v>
      </c>
      <c r="N82" s="1" t="str">
        <f t="shared" si="6"/>
        <v/>
      </c>
      <c r="O82" s="31"/>
      <c r="P82" s="34" t="str">
        <f t="shared" si="7"/>
        <v/>
      </c>
      <c r="R82" t="s">
        <v>241</v>
      </c>
      <c r="S82" s="1" t="str">
        <f t="shared" si="5"/>
        <v/>
      </c>
      <c r="T82" s="1"/>
      <c r="U82" s="35" t="str">
        <f t="shared" si="8"/>
        <v/>
      </c>
    </row>
    <row r="83" spans="1:21" x14ac:dyDescent="0.25">
      <c r="A83" s="26"/>
      <c r="B83" s="26"/>
      <c r="C83" s="26"/>
      <c r="D83" s="26"/>
      <c r="E83" s="26"/>
      <c r="F83" s="26"/>
      <c r="L83" s="26">
        <v>80</v>
      </c>
      <c r="M83" t="s">
        <v>240</v>
      </c>
      <c r="N83" s="1" t="str">
        <f t="shared" si="6"/>
        <v/>
      </c>
      <c r="O83" s="31"/>
      <c r="P83" s="34" t="str">
        <f t="shared" si="7"/>
        <v/>
      </c>
      <c r="R83" t="s">
        <v>240</v>
      </c>
      <c r="S83" s="1" t="str">
        <f t="shared" si="5"/>
        <v/>
      </c>
      <c r="T83" s="1"/>
      <c r="U83" s="35" t="str">
        <f t="shared" si="8"/>
        <v/>
      </c>
    </row>
    <row r="84" spans="1:21" x14ac:dyDescent="0.25">
      <c r="A84" s="26"/>
      <c r="B84" s="26"/>
      <c r="C84" s="26"/>
      <c r="D84" s="26"/>
      <c r="E84" s="26"/>
      <c r="F84" s="26"/>
      <c r="L84" s="26">
        <v>81</v>
      </c>
      <c r="M84" t="s">
        <v>239</v>
      </c>
      <c r="N84" s="1" t="str">
        <f t="shared" si="6"/>
        <v/>
      </c>
      <c r="O84" s="31"/>
      <c r="P84" s="34" t="str">
        <f t="shared" si="7"/>
        <v/>
      </c>
      <c r="R84" t="s">
        <v>239</v>
      </c>
      <c r="S84" s="1" t="str">
        <f t="shared" si="5"/>
        <v/>
      </c>
      <c r="T84" s="1"/>
      <c r="U84" s="35" t="str">
        <f t="shared" si="8"/>
        <v/>
      </c>
    </row>
    <row r="85" spans="1:21" x14ac:dyDescent="0.25">
      <c r="A85" s="26"/>
      <c r="B85" s="26"/>
      <c r="C85" s="26"/>
      <c r="D85" s="26"/>
      <c r="E85" s="26"/>
      <c r="F85" s="26"/>
      <c r="L85" s="26">
        <v>82</v>
      </c>
      <c r="M85" t="s">
        <v>238</v>
      </c>
      <c r="N85" s="1" t="str">
        <f t="shared" si="6"/>
        <v/>
      </c>
      <c r="O85" s="31"/>
      <c r="P85" s="34" t="str">
        <f t="shared" si="7"/>
        <v/>
      </c>
      <c r="R85" t="s">
        <v>238</v>
      </c>
      <c r="S85" s="1" t="str">
        <f t="shared" si="5"/>
        <v/>
      </c>
      <c r="T85" s="1"/>
      <c r="U85" s="35" t="str">
        <f t="shared" si="8"/>
        <v/>
      </c>
    </row>
    <row r="86" spans="1:21" x14ac:dyDescent="0.25">
      <c r="A86" s="26"/>
      <c r="B86" s="26"/>
      <c r="C86" s="26"/>
      <c r="D86" s="26"/>
      <c r="E86" s="26"/>
      <c r="F86" s="26"/>
      <c r="L86" s="26">
        <v>83</v>
      </c>
      <c r="M86" t="s">
        <v>237</v>
      </c>
      <c r="N86" s="1" t="str">
        <f t="shared" si="6"/>
        <v/>
      </c>
      <c r="O86" s="31"/>
      <c r="P86" s="34" t="str">
        <f t="shared" si="7"/>
        <v/>
      </c>
      <c r="R86" t="s">
        <v>237</v>
      </c>
      <c r="S86" s="1" t="str">
        <f t="shared" si="5"/>
        <v/>
      </c>
      <c r="T86" s="1"/>
      <c r="U86" s="35" t="str">
        <f t="shared" si="8"/>
        <v/>
      </c>
    </row>
    <row r="87" spans="1:21" x14ac:dyDescent="0.25">
      <c r="A87" s="26"/>
      <c r="B87" s="26"/>
      <c r="C87" s="26"/>
      <c r="D87" s="26"/>
      <c r="E87" s="26"/>
      <c r="F87" s="26"/>
      <c r="L87" s="26">
        <v>84</v>
      </c>
      <c r="M87" t="s">
        <v>236</v>
      </c>
      <c r="N87" s="1" t="str">
        <f t="shared" si="6"/>
        <v/>
      </c>
      <c r="O87" s="31"/>
      <c r="P87" s="34" t="str">
        <f t="shared" si="7"/>
        <v/>
      </c>
      <c r="R87" t="s">
        <v>236</v>
      </c>
      <c r="S87" s="1" t="str">
        <f t="shared" si="5"/>
        <v/>
      </c>
      <c r="T87" s="1"/>
      <c r="U87" s="35" t="str">
        <f t="shared" si="8"/>
        <v/>
      </c>
    </row>
    <row r="88" spans="1:21" x14ac:dyDescent="0.25">
      <c r="A88" s="26"/>
      <c r="B88" s="26"/>
      <c r="C88" s="26"/>
      <c r="D88" s="26"/>
      <c r="E88" s="26"/>
      <c r="F88" s="26"/>
      <c r="L88" s="26">
        <v>85</v>
      </c>
      <c r="M88" t="s">
        <v>235</v>
      </c>
      <c r="N88" s="1" t="str">
        <f t="shared" si="6"/>
        <v/>
      </c>
      <c r="O88" s="31"/>
      <c r="P88" s="34" t="str">
        <f t="shared" si="7"/>
        <v/>
      </c>
      <c r="R88" t="s">
        <v>235</v>
      </c>
      <c r="S88" s="1" t="str">
        <f t="shared" ref="S88:S151" si="9">IF(L88&gt;$I$2,"",E88/$D$3-1)</f>
        <v/>
      </c>
      <c r="T88" s="1"/>
      <c r="U88" s="35" t="str">
        <f t="shared" si="8"/>
        <v/>
      </c>
    </row>
    <row r="89" spans="1:21" x14ac:dyDescent="0.25">
      <c r="A89" s="26"/>
      <c r="B89" s="26"/>
      <c r="C89" s="26"/>
      <c r="D89" s="26"/>
      <c r="E89" s="26"/>
      <c r="F89" s="26"/>
      <c r="L89" s="26">
        <v>86</v>
      </c>
      <c r="M89" t="s">
        <v>234</v>
      </c>
      <c r="N89" s="1" t="str">
        <f t="shared" si="6"/>
        <v/>
      </c>
      <c r="O89" s="31"/>
      <c r="P89" s="34" t="str">
        <f t="shared" si="7"/>
        <v/>
      </c>
      <c r="R89" t="s">
        <v>234</v>
      </c>
      <c r="S89" s="1" t="str">
        <f t="shared" si="9"/>
        <v/>
      </c>
      <c r="T89" s="1"/>
      <c r="U89" s="35" t="str">
        <f t="shared" si="8"/>
        <v/>
      </c>
    </row>
    <row r="90" spans="1:21" x14ac:dyDescent="0.25">
      <c r="A90" s="26"/>
      <c r="B90" s="26"/>
      <c r="C90" s="26"/>
      <c r="D90" s="26"/>
      <c r="E90" s="26"/>
      <c r="F90" s="26"/>
      <c r="L90" s="26">
        <v>87</v>
      </c>
      <c r="M90" t="s">
        <v>233</v>
      </c>
      <c r="N90" s="1" t="str">
        <f t="shared" si="6"/>
        <v/>
      </c>
      <c r="O90" s="31"/>
      <c r="P90" s="34" t="str">
        <f t="shared" si="7"/>
        <v/>
      </c>
      <c r="R90" t="s">
        <v>233</v>
      </c>
      <c r="S90" s="1" t="str">
        <f t="shared" si="9"/>
        <v/>
      </c>
      <c r="T90" s="1"/>
      <c r="U90" s="35" t="str">
        <f t="shared" si="8"/>
        <v/>
      </c>
    </row>
    <row r="91" spans="1:21" x14ac:dyDescent="0.25">
      <c r="A91" s="26"/>
      <c r="B91" s="26"/>
      <c r="C91" s="26"/>
      <c r="D91" s="26"/>
      <c r="E91" s="26"/>
      <c r="F91" s="26"/>
      <c r="L91" s="26">
        <v>88</v>
      </c>
      <c r="M91" t="s">
        <v>232</v>
      </c>
      <c r="N91" s="1" t="str">
        <f t="shared" si="6"/>
        <v/>
      </c>
      <c r="O91" s="31"/>
      <c r="P91" s="34" t="str">
        <f t="shared" si="7"/>
        <v/>
      </c>
      <c r="R91" t="s">
        <v>232</v>
      </c>
      <c r="S91" s="1" t="str">
        <f t="shared" si="9"/>
        <v/>
      </c>
      <c r="T91" s="1"/>
      <c r="U91" s="35" t="str">
        <f t="shared" si="8"/>
        <v/>
      </c>
    </row>
    <row r="92" spans="1:21" x14ac:dyDescent="0.25">
      <c r="A92" s="26"/>
      <c r="B92" s="26"/>
      <c r="C92" s="26"/>
      <c r="D92" s="26"/>
      <c r="E92" s="26"/>
      <c r="F92" s="26"/>
      <c r="L92" s="26">
        <v>89</v>
      </c>
      <c r="M92" t="s">
        <v>231</v>
      </c>
      <c r="N92" s="1" t="str">
        <f t="shared" si="6"/>
        <v/>
      </c>
      <c r="O92" s="31"/>
      <c r="P92" s="34" t="str">
        <f t="shared" si="7"/>
        <v/>
      </c>
      <c r="R92" t="s">
        <v>231</v>
      </c>
      <c r="S92" s="1" t="str">
        <f t="shared" si="9"/>
        <v/>
      </c>
      <c r="T92" s="1"/>
      <c r="U92" s="35" t="str">
        <f t="shared" si="8"/>
        <v/>
      </c>
    </row>
    <row r="93" spans="1:21" x14ac:dyDescent="0.25">
      <c r="A93" s="26"/>
      <c r="B93" s="26"/>
      <c r="C93" s="26"/>
      <c r="D93" s="26"/>
      <c r="E93" s="26"/>
      <c r="F93" s="26"/>
      <c r="L93" s="26">
        <v>90</v>
      </c>
      <c r="M93" t="s">
        <v>230</v>
      </c>
      <c r="N93" s="1" t="str">
        <f t="shared" si="6"/>
        <v/>
      </c>
      <c r="O93" s="31"/>
      <c r="P93" s="34" t="str">
        <f t="shared" si="7"/>
        <v/>
      </c>
      <c r="R93" t="s">
        <v>230</v>
      </c>
      <c r="S93" s="1" t="str">
        <f t="shared" si="9"/>
        <v/>
      </c>
      <c r="T93" s="1"/>
      <c r="U93" s="35" t="str">
        <f t="shared" si="8"/>
        <v/>
      </c>
    </row>
    <row r="94" spans="1:21" x14ac:dyDescent="0.25">
      <c r="A94" s="26"/>
      <c r="B94" s="26"/>
      <c r="C94" s="26"/>
      <c r="D94" s="26"/>
      <c r="E94" s="26"/>
      <c r="F94" s="26"/>
      <c r="L94" s="26">
        <v>91</v>
      </c>
      <c r="M94" t="s">
        <v>229</v>
      </c>
      <c r="N94" s="1" t="str">
        <f t="shared" si="6"/>
        <v/>
      </c>
      <c r="O94" s="31"/>
      <c r="P94" s="34" t="str">
        <f t="shared" si="7"/>
        <v/>
      </c>
      <c r="R94" t="s">
        <v>229</v>
      </c>
      <c r="S94" s="1" t="str">
        <f t="shared" si="9"/>
        <v/>
      </c>
      <c r="T94" s="1"/>
      <c r="U94" s="35" t="str">
        <f t="shared" si="8"/>
        <v/>
      </c>
    </row>
    <row r="95" spans="1:21" x14ac:dyDescent="0.25">
      <c r="A95" s="26"/>
      <c r="B95" s="26"/>
      <c r="C95" s="26"/>
      <c r="D95" s="26"/>
      <c r="E95" s="26"/>
      <c r="F95" s="26"/>
      <c r="L95" s="26">
        <v>92</v>
      </c>
      <c r="M95" t="s">
        <v>228</v>
      </c>
      <c r="N95" s="1" t="str">
        <f t="shared" si="6"/>
        <v/>
      </c>
      <c r="O95" s="31"/>
      <c r="P95" s="34" t="str">
        <f t="shared" si="7"/>
        <v/>
      </c>
      <c r="R95" t="s">
        <v>228</v>
      </c>
      <c r="S95" s="1" t="str">
        <f t="shared" si="9"/>
        <v/>
      </c>
      <c r="T95" s="1"/>
      <c r="U95" s="35" t="str">
        <f t="shared" si="8"/>
        <v/>
      </c>
    </row>
    <row r="96" spans="1:21" x14ac:dyDescent="0.25">
      <c r="L96" s="26">
        <v>93</v>
      </c>
      <c r="M96" t="s">
        <v>227</v>
      </c>
      <c r="N96" s="1" t="str">
        <f t="shared" si="6"/>
        <v/>
      </c>
      <c r="O96" s="31"/>
      <c r="P96" s="34" t="str">
        <f t="shared" si="7"/>
        <v/>
      </c>
      <c r="R96" t="s">
        <v>227</v>
      </c>
      <c r="S96" s="1" t="str">
        <f t="shared" si="9"/>
        <v/>
      </c>
      <c r="T96" s="1"/>
      <c r="U96" s="35" t="str">
        <f t="shared" si="8"/>
        <v/>
      </c>
    </row>
    <row r="97" spans="12:21" x14ac:dyDescent="0.25">
      <c r="L97" s="26">
        <v>94</v>
      </c>
      <c r="M97" t="s">
        <v>226</v>
      </c>
      <c r="N97" s="1" t="str">
        <f t="shared" si="6"/>
        <v/>
      </c>
      <c r="O97" s="31"/>
      <c r="P97" s="34" t="str">
        <f t="shared" si="7"/>
        <v/>
      </c>
      <c r="R97" t="s">
        <v>226</v>
      </c>
      <c r="S97" s="1" t="str">
        <f t="shared" si="9"/>
        <v/>
      </c>
      <c r="T97" s="1"/>
      <c r="U97" s="35" t="str">
        <f t="shared" si="8"/>
        <v/>
      </c>
    </row>
    <row r="98" spans="12:21" x14ac:dyDescent="0.25">
      <c r="L98" s="26">
        <v>95</v>
      </c>
      <c r="M98" t="s">
        <v>225</v>
      </c>
      <c r="N98" s="1" t="str">
        <f t="shared" si="6"/>
        <v/>
      </c>
      <c r="O98" s="31"/>
      <c r="P98" s="34" t="str">
        <f t="shared" si="7"/>
        <v/>
      </c>
      <c r="R98" t="s">
        <v>225</v>
      </c>
      <c r="S98" s="1" t="str">
        <f t="shared" si="9"/>
        <v/>
      </c>
      <c r="T98" s="1"/>
      <c r="U98" s="35" t="str">
        <f t="shared" si="8"/>
        <v/>
      </c>
    </row>
    <row r="99" spans="12:21" x14ac:dyDescent="0.25">
      <c r="L99" s="26">
        <v>96</v>
      </c>
      <c r="M99" t="s">
        <v>224</v>
      </c>
      <c r="N99" s="1" t="str">
        <f t="shared" si="6"/>
        <v/>
      </c>
      <c r="O99" s="31"/>
      <c r="P99" s="34" t="str">
        <f t="shared" si="7"/>
        <v/>
      </c>
      <c r="R99" t="s">
        <v>224</v>
      </c>
      <c r="S99" s="1" t="str">
        <f t="shared" si="9"/>
        <v/>
      </c>
      <c r="T99" s="1"/>
      <c r="U99" s="35" t="str">
        <f t="shared" si="8"/>
        <v/>
      </c>
    </row>
    <row r="100" spans="12:21" x14ac:dyDescent="0.25">
      <c r="L100" s="26">
        <v>97</v>
      </c>
      <c r="M100" t="s">
        <v>223</v>
      </c>
      <c r="N100" s="1" t="str">
        <f t="shared" si="6"/>
        <v/>
      </c>
      <c r="O100" s="31"/>
      <c r="P100" s="34" t="str">
        <f t="shared" si="7"/>
        <v/>
      </c>
      <c r="R100" t="s">
        <v>223</v>
      </c>
      <c r="S100" s="1" t="str">
        <f t="shared" si="9"/>
        <v/>
      </c>
      <c r="T100" s="1"/>
      <c r="U100" s="35" t="str">
        <f t="shared" si="8"/>
        <v/>
      </c>
    </row>
    <row r="101" spans="12:21" x14ac:dyDescent="0.25">
      <c r="L101" s="26">
        <v>98</v>
      </c>
      <c r="M101" t="s">
        <v>222</v>
      </c>
      <c r="N101" s="1" t="str">
        <f t="shared" si="6"/>
        <v/>
      </c>
      <c r="O101" s="31"/>
      <c r="P101" s="34" t="str">
        <f t="shared" si="7"/>
        <v/>
      </c>
      <c r="R101" t="s">
        <v>222</v>
      </c>
      <c r="S101" s="1" t="str">
        <f t="shared" si="9"/>
        <v/>
      </c>
      <c r="T101" s="1"/>
      <c r="U101" s="35" t="str">
        <f t="shared" si="8"/>
        <v/>
      </c>
    </row>
    <row r="102" spans="12:21" x14ac:dyDescent="0.25">
      <c r="L102" s="26">
        <v>99</v>
      </c>
      <c r="M102" t="s">
        <v>221</v>
      </c>
      <c r="N102" s="1" t="str">
        <f t="shared" si="6"/>
        <v/>
      </c>
      <c r="O102" s="31"/>
      <c r="P102" s="34" t="str">
        <f t="shared" si="7"/>
        <v/>
      </c>
      <c r="R102" t="s">
        <v>221</v>
      </c>
      <c r="S102" s="1" t="str">
        <f t="shared" si="9"/>
        <v/>
      </c>
      <c r="T102" s="1"/>
      <c r="U102" s="35" t="str">
        <f t="shared" si="8"/>
        <v/>
      </c>
    </row>
    <row r="103" spans="12:21" x14ac:dyDescent="0.25">
      <c r="L103" s="26">
        <v>100</v>
      </c>
      <c r="M103" t="s">
        <v>220</v>
      </c>
      <c r="N103" s="1" t="str">
        <f t="shared" si="6"/>
        <v/>
      </c>
      <c r="O103" s="31"/>
      <c r="P103" s="34" t="str">
        <f t="shared" si="7"/>
        <v/>
      </c>
      <c r="R103" t="s">
        <v>220</v>
      </c>
      <c r="S103" s="1" t="str">
        <f t="shared" si="9"/>
        <v/>
      </c>
      <c r="T103" s="1"/>
      <c r="U103" s="35" t="str">
        <f t="shared" si="8"/>
        <v/>
      </c>
    </row>
    <row r="104" spans="12:21" x14ac:dyDescent="0.25">
      <c r="L104" s="26">
        <v>101</v>
      </c>
      <c r="M104" t="s">
        <v>219</v>
      </c>
      <c r="N104" s="1" t="str">
        <f t="shared" si="6"/>
        <v/>
      </c>
      <c r="O104" s="31"/>
      <c r="P104" s="34" t="str">
        <f t="shared" si="7"/>
        <v/>
      </c>
      <c r="R104" t="s">
        <v>219</v>
      </c>
      <c r="S104" s="1" t="str">
        <f t="shared" si="9"/>
        <v/>
      </c>
      <c r="T104" s="1"/>
      <c r="U104" s="35" t="str">
        <f t="shared" si="8"/>
        <v/>
      </c>
    </row>
    <row r="105" spans="12:21" x14ac:dyDescent="0.25">
      <c r="L105" s="26">
        <v>102</v>
      </c>
      <c r="M105" t="s">
        <v>218</v>
      </c>
      <c r="N105" s="1" t="str">
        <f t="shared" si="6"/>
        <v/>
      </c>
      <c r="O105" s="31"/>
      <c r="P105" s="34" t="str">
        <f t="shared" si="7"/>
        <v/>
      </c>
      <c r="R105" t="s">
        <v>218</v>
      </c>
      <c r="S105" s="1" t="str">
        <f t="shared" si="9"/>
        <v/>
      </c>
      <c r="T105" s="1"/>
      <c r="U105" s="35" t="str">
        <f t="shared" si="8"/>
        <v/>
      </c>
    </row>
    <row r="106" spans="12:21" x14ac:dyDescent="0.25">
      <c r="L106" s="26">
        <v>103</v>
      </c>
      <c r="M106" t="s">
        <v>217</v>
      </c>
      <c r="N106" s="1" t="str">
        <f t="shared" si="6"/>
        <v/>
      </c>
      <c r="O106" s="31"/>
      <c r="P106" s="34" t="str">
        <f t="shared" si="7"/>
        <v/>
      </c>
      <c r="R106" t="s">
        <v>217</v>
      </c>
      <c r="S106" s="1" t="str">
        <f t="shared" si="9"/>
        <v/>
      </c>
      <c r="T106" s="1"/>
      <c r="U106" s="35" t="str">
        <f t="shared" si="8"/>
        <v/>
      </c>
    </row>
    <row r="107" spans="12:21" x14ac:dyDescent="0.25">
      <c r="L107" s="26">
        <v>104</v>
      </c>
      <c r="M107" t="s">
        <v>216</v>
      </c>
      <c r="N107" s="1" t="str">
        <f t="shared" si="6"/>
        <v/>
      </c>
      <c r="O107" s="31"/>
      <c r="P107" s="34" t="str">
        <f t="shared" si="7"/>
        <v/>
      </c>
      <c r="R107" t="s">
        <v>216</v>
      </c>
      <c r="S107" s="1" t="str">
        <f t="shared" si="9"/>
        <v/>
      </c>
      <c r="T107" s="1"/>
      <c r="U107" s="35" t="str">
        <f t="shared" si="8"/>
        <v/>
      </c>
    </row>
    <row r="108" spans="12:21" x14ac:dyDescent="0.25">
      <c r="L108" s="26">
        <v>105</v>
      </c>
      <c r="M108" t="s">
        <v>215</v>
      </c>
      <c r="N108" s="1" t="str">
        <f t="shared" si="6"/>
        <v/>
      </c>
      <c r="O108" s="31"/>
      <c r="P108" s="34" t="str">
        <f t="shared" si="7"/>
        <v/>
      </c>
      <c r="R108" t="s">
        <v>215</v>
      </c>
      <c r="S108" s="1" t="str">
        <f t="shared" si="9"/>
        <v/>
      </c>
      <c r="T108" s="1"/>
      <c r="U108" s="35" t="str">
        <f t="shared" si="8"/>
        <v/>
      </c>
    </row>
    <row r="109" spans="12:21" x14ac:dyDescent="0.25">
      <c r="L109" s="26">
        <v>106</v>
      </c>
      <c r="M109" t="s">
        <v>214</v>
      </c>
      <c r="N109" s="1" t="str">
        <f t="shared" si="6"/>
        <v/>
      </c>
      <c r="O109" s="31"/>
      <c r="P109" s="34" t="str">
        <f t="shared" si="7"/>
        <v/>
      </c>
      <c r="R109" t="s">
        <v>214</v>
      </c>
      <c r="S109" s="1" t="str">
        <f t="shared" si="9"/>
        <v/>
      </c>
      <c r="T109" s="1"/>
      <c r="U109" s="35" t="str">
        <f t="shared" si="8"/>
        <v/>
      </c>
    </row>
    <row r="110" spans="12:21" x14ac:dyDescent="0.25">
      <c r="L110" s="26">
        <v>107</v>
      </c>
      <c r="M110" t="s">
        <v>213</v>
      </c>
      <c r="N110" s="1" t="str">
        <f t="shared" si="6"/>
        <v/>
      </c>
      <c r="O110" s="31"/>
      <c r="P110" s="34" t="str">
        <f t="shared" si="7"/>
        <v/>
      </c>
      <c r="R110" t="s">
        <v>213</v>
      </c>
      <c r="S110" s="1" t="str">
        <f t="shared" si="9"/>
        <v/>
      </c>
      <c r="T110" s="1"/>
      <c r="U110" s="35" t="str">
        <f t="shared" si="8"/>
        <v/>
      </c>
    </row>
    <row r="111" spans="12:21" x14ac:dyDescent="0.25">
      <c r="L111" s="26">
        <v>108</v>
      </c>
      <c r="M111" t="s">
        <v>212</v>
      </c>
      <c r="N111" s="1" t="str">
        <f t="shared" si="6"/>
        <v/>
      </c>
      <c r="O111" s="31"/>
      <c r="P111" s="34" t="str">
        <f t="shared" si="7"/>
        <v/>
      </c>
      <c r="R111" t="s">
        <v>212</v>
      </c>
      <c r="S111" s="1" t="str">
        <f t="shared" si="9"/>
        <v/>
      </c>
      <c r="T111" s="1"/>
      <c r="U111" s="35" t="str">
        <f t="shared" si="8"/>
        <v/>
      </c>
    </row>
    <row r="112" spans="12:21" x14ac:dyDescent="0.25">
      <c r="L112" s="26">
        <v>109</v>
      </c>
      <c r="M112" t="s">
        <v>211</v>
      </c>
      <c r="N112" s="1" t="str">
        <f t="shared" si="6"/>
        <v/>
      </c>
      <c r="O112" s="31"/>
      <c r="P112" s="34" t="str">
        <f t="shared" si="7"/>
        <v/>
      </c>
      <c r="R112" t="s">
        <v>211</v>
      </c>
      <c r="S112" s="1" t="str">
        <f t="shared" si="9"/>
        <v/>
      </c>
      <c r="T112" s="1"/>
      <c r="U112" s="35" t="str">
        <f t="shared" si="8"/>
        <v/>
      </c>
    </row>
    <row r="113" spans="12:21" x14ac:dyDescent="0.25">
      <c r="L113" s="26">
        <v>110</v>
      </c>
      <c r="M113" t="s">
        <v>210</v>
      </c>
      <c r="N113" s="1" t="str">
        <f t="shared" si="6"/>
        <v/>
      </c>
      <c r="O113" s="31"/>
      <c r="P113" s="34" t="str">
        <f t="shared" si="7"/>
        <v/>
      </c>
      <c r="R113" t="s">
        <v>210</v>
      </c>
      <c r="S113" s="1" t="str">
        <f t="shared" si="9"/>
        <v/>
      </c>
      <c r="T113" s="1"/>
      <c r="U113" s="35" t="str">
        <f t="shared" si="8"/>
        <v/>
      </c>
    </row>
    <row r="114" spans="12:21" x14ac:dyDescent="0.25">
      <c r="L114" s="26">
        <v>111</v>
      </c>
      <c r="M114" t="s">
        <v>209</v>
      </c>
      <c r="N114" s="1" t="str">
        <f t="shared" si="6"/>
        <v/>
      </c>
      <c r="O114" s="31"/>
      <c r="P114" s="34" t="str">
        <f t="shared" si="7"/>
        <v/>
      </c>
      <c r="R114" t="s">
        <v>209</v>
      </c>
      <c r="S114" s="1" t="str">
        <f t="shared" si="9"/>
        <v/>
      </c>
      <c r="T114" s="1"/>
      <c r="U114" s="35" t="str">
        <f t="shared" si="8"/>
        <v/>
      </c>
    </row>
    <row r="115" spans="12:21" x14ac:dyDescent="0.25">
      <c r="L115" s="26">
        <v>112</v>
      </c>
      <c r="M115" t="s">
        <v>208</v>
      </c>
      <c r="N115" s="1" t="str">
        <f t="shared" si="6"/>
        <v/>
      </c>
      <c r="O115" s="31"/>
      <c r="P115" s="34" t="str">
        <f t="shared" si="7"/>
        <v/>
      </c>
      <c r="R115" t="s">
        <v>208</v>
      </c>
      <c r="S115" s="1" t="str">
        <f t="shared" si="9"/>
        <v/>
      </c>
      <c r="T115" s="1"/>
      <c r="U115" s="35" t="str">
        <f t="shared" si="8"/>
        <v/>
      </c>
    </row>
    <row r="116" spans="12:21" x14ac:dyDescent="0.25">
      <c r="L116" s="26">
        <v>113</v>
      </c>
      <c r="M116" t="s">
        <v>207</v>
      </c>
      <c r="N116" s="1" t="str">
        <f t="shared" si="6"/>
        <v/>
      </c>
      <c r="O116" s="31"/>
      <c r="P116" s="34" t="str">
        <f t="shared" si="7"/>
        <v/>
      </c>
      <c r="R116" t="s">
        <v>207</v>
      </c>
      <c r="S116" s="1" t="str">
        <f t="shared" si="9"/>
        <v/>
      </c>
      <c r="T116" s="1"/>
      <c r="U116" s="35" t="str">
        <f t="shared" si="8"/>
        <v/>
      </c>
    </row>
    <row r="117" spans="12:21" x14ac:dyDescent="0.25">
      <c r="L117" s="26">
        <v>114</v>
      </c>
      <c r="M117" t="s">
        <v>206</v>
      </c>
      <c r="N117" s="1" t="str">
        <f t="shared" si="6"/>
        <v/>
      </c>
      <c r="O117" s="31"/>
      <c r="P117" s="34" t="str">
        <f t="shared" si="7"/>
        <v/>
      </c>
      <c r="R117" t="s">
        <v>206</v>
      </c>
      <c r="S117" s="1" t="str">
        <f t="shared" si="9"/>
        <v/>
      </c>
      <c r="T117" s="1"/>
      <c r="U117" s="35" t="str">
        <f t="shared" si="8"/>
        <v/>
      </c>
    </row>
    <row r="118" spans="12:21" x14ac:dyDescent="0.25">
      <c r="L118" s="26">
        <v>115</v>
      </c>
      <c r="M118" t="s">
        <v>205</v>
      </c>
      <c r="N118" s="1" t="str">
        <f t="shared" si="6"/>
        <v/>
      </c>
      <c r="O118" s="31"/>
      <c r="P118" s="34" t="str">
        <f t="shared" si="7"/>
        <v/>
      </c>
      <c r="R118" t="s">
        <v>205</v>
      </c>
      <c r="S118" s="1" t="str">
        <f t="shared" si="9"/>
        <v/>
      </c>
      <c r="T118" s="1"/>
      <c r="U118" s="35" t="str">
        <f t="shared" si="8"/>
        <v/>
      </c>
    </row>
    <row r="119" spans="12:21" x14ac:dyDescent="0.25">
      <c r="L119" s="26">
        <v>116</v>
      </c>
      <c r="M119" t="s">
        <v>204</v>
      </c>
      <c r="N119" s="1" t="str">
        <f t="shared" si="6"/>
        <v/>
      </c>
      <c r="O119" s="31"/>
      <c r="P119" s="34" t="str">
        <f t="shared" si="7"/>
        <v/>
      </c>
      <c r="R119" t="s">
        <v>204</v>
      </c>
      <c r="S119" s="1" t="str">
        <f t="shared" si="9"/>
        <v/>
      </c>
      <c r="T119" s="1"/>
      <c r="U119" s="35" t="str">
        <f t="shared" si="8"/>
        <v/>
      </c>
    </row>
    <row r="120" spans="12:21" x14ac:dyDescent="0.25">
      <c r="L120" s="26">
        <v>117</v>
      </c>
      <c r="M120" t="s">
        <v>203</v>
      </c>
      <c r="N120" s="1" t="str">
        <f t="shared" si="6"/>
        <v/>
      </c>
      <c r="O120" s="31"/>
      <c r="P120" s="34" t="str">
        <f t="shared" si="7"/>
        <v/>
      </c>
      <c r="R120" t="s">
        <v>203</v>
      </c>
      <c r="S120" s="1" t="str">
        <f t="shared" si="9"/>
        <v/>
      </c>
      <c r="T120" s="1"/>
      <c r="U120" s="35" t="str">
        <f t="shared" si="8"/>
        <v/>
      </c>
    </row>
    <row r="121" spans="12:21" x14ac:dyDescent="0.25">
      <c r="L121" s="26">
        <v>118</v>
      </c>
      <c r="M121" t="s">
        <v>202</v>
      </c>
      <c r="N121" s="1" t="str">
        <f t="shared" si="6"/>
        <v/>
      </c>
      <c r="O121" s="31"/>
      <c r="P121" s="34" t="str">
        <f t="shared" si="7"/>
        <v/>
      </c>
      <c r="R121" t="s">
        <v>202</v>
      </c>
      <c r="S121" s="1" t="str">
        <f t="shared" si="9"/>
        <v/>
      </c>
      <c r="T121" s="1"/>
      <c r="U121" s="35" t="str">
        <f t="shared" si="8"/>
        <v/>
      </c>
    </row>
    <row r="122" spans="12:21" x14ac:dyDescent="0.25">
      <c r="L122" s="26">
        <v>119</v>
      </c>
      <c r="M122" t="s">
        <v>201</v>
      </c>
      <c r="N122" s="1" t="str">
        <f t="shared" si="6"/>
        <v/>
      </c>
      <c r="O122" s="31"/>
      <c r="P122" s="34" t="str">
        <f t="shared" si="7"/>
        <v/>
      </c>
      <c r="R122" t="s">
        <v>201</v>
      </c>
      <c r="S122" s="1" t="str">
        <f t="shared" si="9"/>
        <v/>
      </c>
      <c r="T122" s="1"/>
      <c r="U122" s="35" t="str">
        <f t="shared" si="8"/>
        <v/>
      </c>
    </row>
    <row r="123" spans="12:21" x14ac:dyDescent="0.25">
      <c r="L123" s="26">
        <v>120</v>
      </c>
      <c r="M123" t="s">
        <v>200</v>
      </c>
      <c r="N123" s="1" t="str">
        <f t="shared" si="6"/>
        <v/>
      </c>
      <c r="O123" s="31"/>
      <c r="P123" s="34" t="str">
        <f t="shared" si="7"/>
        <v/>
      </c>
      <c r="R123" t="s">
        <v>200</v>
      </c>
      <c r="S123" s="1" t="str">
        <f t="shared" si="9"/>
        <v/>
      </c>
      <c r="T123" s="1"/>
      <c r="U123" s="35" t="str">
        <f t="shared" si="8"/>
        <v/>
      </c>
    </row>
    <row r="124" spans="12:21" x14ac:dyDescent="0.25">
      <c r="L124" s="26">
        <v>121</v>
      </c>
      <c r="M124" t="s">
        <v>199</v>
      </c>
      <c r="N124" s="1" t="str">
        <f t="shared" si="6"/>
        <v/>
      </c>
      <c r="O124" s="31"/>
      <c r="P124" s="34" t="str">
        <f t="shared" si="7"/>
        <v/>
      </c>
      <c r="R124" t="s">
        <v>199</v>
      </c>
      <c r="S124" s="1" t="str">
        <f t="shared" si="9"/>
        <v/>
      </c>
      <c r="T124" s="1"/>
      <c r="U124" s="35" t="str">
        <f t="shared" si="8"/>
        <v/>
      </c>
    </row>
    <row r="125" spans="12:21" x14ac:dyDescent="0.25">
      <c r="L125" s="26">
        <v>122</v>
      </c>
      <c r="M125" t="s">
        <v>198</v>
      </c>
      <c r="N125" s="1" t="str">
        <f t="shared" si="6"/>
        <v/>
      </c>
      <c r="O125" s="31"/>
      <c r="P125" s="34" t="str">
        <f t="shared" si="7"/>
        <v/>
      </c>
      <c r="R125" t="s">
        <v>198</v>
      </c>
      <c r="S125" s="1" t="str">
        <f t="shared" si="9"/>
        <v/>
      </c>
      <c r="T125" s="1"/>
      <c r="U125" s="35" t="str">
        <f t="shared" si="8"/>
        <v/>
      </c>
    </row>
    <row r="126" spans="12:21" x14ac:dyDescent="0.25">
      <c r="L126" s="26">
        <v>123</v>
      </c>
      <c r="M126" t="s">
        <v>197</v>
      </c>
      <c r="N126" s="1" t="str">
        <f t="shared" si="6"/>
        <v/>
      </c>
      <c r="O126" s="31"/>
      <c r="P126" s="34" t="str">
        <f t="shared" si="7"/>
        <v/>
      </c>
      <c r="R126" t="s">
        <v>197</v>
      </c>
      <c r="S126" s="1" t="str">
        <f t="shared" si="9"/>
        <v/>
      </c>
      <c r="T126" s="1"/>
      <c r="U126" s="35" t="str">
        <f t="shared" si="8"/>
        <v/>
      </c>
    </row>
    <row r="127" spans="12:21" x14ac:dyDescent="0.25">
      <c r="L127" s="26">
        <v>124</v>
      </c>
      <c r="M127" t="s">
        <v>196</v>
      </c>
      <c r="N127" s="1" t="str">
        <f t="shared" si="6"/>
        <v/>
      </c>
      <c r="O127" s="31"/>
      <c r="P127" s="34" t="str">
        <f t="shared" si="7"/>
        <v/>
      </c>
      <c r="R127" t="s">
        <v>196</v>
      </c>
      <c r="S127" s="1" t="str">
        <f t="shared" si="9"/>
        <v/>
      </c>
      <c r="T127" s="1"/>
      <c r="U127" s="35" t="str">
        <f t="shared" si="8"/>
        <v/>
      </c>
    </row>
    <row r="128" spans="12:21" x14ac:dyDescent="0.25">
      <c r="L128" s="26">
        <v>125</v>
      </c>
      <c r="M128" t="s">
        <v>195</v>
      </c>
      <c r="N128" s="1" t="str">
        <f t="shared" si="6"/>
        <v/>
      </c>
      <c r="O128" s="31"/>
      <c r="P128" s="34" t="str">
        <f t="shared" si="7"/>
        <v/>
      </c>
      <c r="R128" t="s">
        <v>195</v>
      </c>
      <c r="S128" s="1" t="str">
        <f t="shared" si="9"/>
        <v/>
      </c>
      <c r="T128" s="1"/>
      <c r="U128" s="35" t="str">
        <f t="shared" si="8"/>
        <v/>
      </c>
    </row>
    <row r="129" spans="12:21" x14ac:dyDescent="0.25">
      <c r="L129" s="26">
        <v>126</v>
      </c>
      <c r="M129" t="s">
        <v>194</v>
      </c>
      <c r="N129" s="1" t="str">
        <f t="shared" si="6"/>
        <v/>
      </c>
      <c r="O129" s="31"/>
      <c r="P129" s="34" t="str">
        <f t="shared" si="7"/>
        <v/>
      </c>
      <c r="R129" t="s">
        <v>194</v>
      </c>
      <c r="S129" s="1" t="str">
        <f t="shared" si="9"/>
        <v/>
      </c>
      <c r="T129" s="1"/>
      <c r="U129" s="35" t="str">
        <f t="shared" si="8"/>
        <v/>
      </c>
    </row>
    <row r="130" spans="12:21" x14ac:dyDescent="0.25">
      <c r="L130" s="26">
        <v>127</v>
      </c>
      <c r="M130" t="s">
        <v>193</v>
      </c>
      <c r="N130" s="1" t="str">
        <f t="shared" si="6"/>
        <v/>
      </c>
      <c r="O130" s="31"/>
      <c r="P130" s="34" t="str">
        <f t="shared" si="7"/>
        <v/>
      </c>
      <c r="R130" t="s">
        <v>193</v>
      </c>
      <c r="S130" s="1" t="str">
        <f t="shared" si="9"/>
        <v/>
      </c>
      <c r="T130" s="1"/>
      <c r="U130" s="35" t="str">
        <f t="shared" si="8"/>
        <v/>
      </c>
    </row>
    <row r="131" spans="12:21" x14ac:dyDescent="0.25">
      <c r="L131" s="26">
        <v>128</v>
      </c>
      <c r="M131" t="s">
        <v>192</v>
      </c>
      <c r="N131" s="1" t="str">
        <f t="shared" si="6"/>
        <v/>
      </c>
      <c r="O131" s="31"/>
      <c r="P131" s="34" t="str">
        <f t="shared" si="7"/>
        <v/>
      </c>
      <c r="R131" t="s">
        <v>192</v>
      </c>
      <c r="S131" s="1" t="str">
        <f t="shared" si="9"/>
        <v/>
      </c>
      <c r="T131" s="1"/>
      <c r="U131" s="35" t="str">
        <f t="shared" si="8"/>
        <v/>
      </c>
    </row>
    <row r="132" spans="12:21" x14ac:dyDescent="0.25">
      <c r="L132" s="26">
        <v>129</v>
      </c>
      <c r="M132" t="s">
        <v>191</v>
      </c>
      <c r="N132" s="1" t="str">
        <f t="shared" si="6"/>
        <v/>
      </c>
      <c r="O132" s="31"/>
      <c r="P132" s="34" t="str">
        <f t="shared" si="7"/>
        <v/>
      </c>
      <c r="R132" t="s">
        <v>191</v>
      </c>
      <c r="S132" s="1" t="str">
        <f t="shared" si="9"/>
        <v/>
      </c>
      <c r="T132" s="1"/>
      <c r="U132" s="35" t="str">
        <f t="shared" si="8"/>
        <v/>
      </c>
    </row>
    <row r="133" spans="12:21" x14ac:dyDescent="0.25">
      <c r="L133" s="26">
        <v>130</v>
      </c>
      <c r="M133" t="s">
        <v>190</v>
      </c>
      <c r="N133" s="1" t="str">
        <f t="shared" ref="N133:N196" si="10">IF(L133&gt;$I$2,"",F133/$D$3-1)</f>
        <v/>
      </c>
      <c r="O133" s="31"/>
      <c r="P133" s="34" t="str">
        <f t="shared" ref="P133:P196" si="11">IF(AND(L133&lt;=$I$2,N133&lt;= -0.1),1,"")</f>
        <v/>
      </c>
      <c r="R133" t="s">
        <v>190</v>
      </c>
      <c r="S133" s="1" t="str">
        <f t="shared" si="9"/>
        <v/>
      </c>
      <c r="T133" s="1"/>
      <c r="U133" s="35" t="str">
        <f t="shared" ref="U133:U196" si="12">IF(AND(L133&lt;=$I$2,S133&gt;=0.2),1,"")</f>
        <v/>
      </c>
    </row>
    <row r="134" spans="12:21" x14ac:dyDescent="0.25">
      <c r="L134" s="26">
        <v>131</v>
      </c>
      <c r="M134" t="s">
        <v>189</v>
      </c>
      <c r="N134" s="1" t="str">
        <f t="shared" si="10"/>
        <v/>
      </c>
      <c r="O134" s="31"/>
      <c r="P134" s="34" t="str">
        <f t="shared" si="11"/>
        <v/>
      </c>
      <c r="R134" t="s">
        <v>189</v>
      </c>
      <c r="S134" s="1" t="str">
        <f t="shared" si="9"/>
        <v/>
      </c>
      <c r="T134" s="1"/>
      <c r="U134" s="35" t="str">
        <f t="shared" si="12"/>
        <v/>
      </c>
    </row>
    <row r="135" spans="12:21" x14ac:dyDescent="0.25">
      <c r="L135" s="26">
        <v>132</v>
      </c>
      <c r="M135" t="s">
        <v>188</v>
      </c>
      <c r="N135" s="1" t="str">
        <f t="shared" si="10"/>
        <v/>
      </c>
      <c r="O135" s="31"/>
      <c r="P135" s="34" t="str">
        <f t="shared" si="11"/>
        <v/>
      </c>
      <c r="R135" t="s">
        <v>188</v>
      </c>
      <c r="S135" s="1" t="str">
        <f t="shared" si="9"/>
        <v/>
      </c>
      <c r="T135" s="1"/>
      <c r="U135" s="35" t="str">
        <f t="shared" si="12"/>
        <v/>
      </c>
    </row>
    <row r="136" spans="12:21" x14ac:dyDescent="0.25">
      <c r="L136" s="26">
        <v>133</v>
      </c>
      <c r="M136" t="s">
        <v>187</v>
      </c>
      <c r="N136" s="1" t="str">
        <f t="shared" si="10"/>
        <v/>
      </c>
      <c r="O136" s="31"/>
      <c r="P136" s="34" t="str">
        <f t="shared" si="11"/>
        <v/>
      </c>
      <c r="R136" t="s">
        <v>187</v>
      </c>
      <c r="S136" s="1" t="str">
        <f t="shared" si="9"/>
        <v/>
      </c>
      <c r="T136" s="1"/>
      <c r="U136" s="35" t="str">
        <f t="shared" si="12"/>
        <v/>
      </c>
    </row>
    <row r="137" spans="12:21" x14ac:dyDescent="0.25">
      <c r="L137" s="26">
        <v>134</v>
      </c>
      <c r="M137" t="s">
        <v>186</v>
      </c>
      <c r="N137" s="1" t="str">
        <f t="shared" si="10"/>
        <v/>
      </c>
      <c r="O137" s="31"/>
      <c r="P137" s="34" t="str">
        <f t="shared" si="11"/>
        <v/>
      </c>
      <c r="R137" t="s">
        <v>186</v>
      </c>
      <c r="S137" s="1" t="str">
        <f t="shared" si="9"/>
        <v/>
      </c>
      <c r="T137" s="1"/>
      <c r="U137" s="35" t="str">
        <f t="shared" si="12"/>
        <v/>
      </c>
    </row>
    <row r="138" spans="12:21" x14ac:dyDescent="0.25">
      <c r="L138" s="26">
        <v>135</v>
      </c>
      <c r="M138" t="s">
        <v>185</v>
      </c>
      <c r="N138" s="1" t="str">
        <f t="shared" si="10"/>
        <v/>
      </c>
      <c r="O138" s="31"/>
      <c r="P138" s="34" t="str">
        <f t="shared" si="11"/>
        <v/>
      </c>
      <c r="R138" t="s">
        <v>185</v>
      </c>
      <c r="S138" s="1" t="str">
        <f t="shared" si="9"/>
        <v/>
      </c>
      <c r="T138" s="1"/>
      <c r="U138" s="35" t="str">
        <f t="shared" si="12"/>
        <v/>
      </c>
    </row>
    <row r="139" spans="12:21" x14ac:dyDescent="0.25">
      <c r="L139" s="26">
        <v>136</v>
      </c>
      <c r="M139" t="s">
        <v>184</v>
      </c>
      <c r="N139" s="1" t="str">
        <f t="shared" si="10"/>
        <v/>
      </c>
      <c r="O139" s="31"/>
      <c r="P139" s="34" t="str">
        <f t="shared" si="11"/>
        <v/>
      </c>
      <c r="R139" t="s">
        <v>184</v>
      </c>
      <c r="S139" s="1" t="str">
        <f t="shared" si="9"/>
        <v/>
      </c>
      <c r="T139" s="1"/>
      <c r="U139" s="35" t="str">
        <f t="shared" si="12"/>
        <v/>
      </c>
    </row>
    <row r="140" spans="12:21" x14ac:dyDescent="0.25">
      <c r="L140" s="26">
        <v>137</v>
      </c>
      <c r="M140" t="s">
        <v>183</v>
      </c>
      <c r="N140" s="1" t="str">
        <f t="shared" si="10"/>
        <v/>
      </c>
      <c r="O140" s="31"/>
      <c r="P140" s="34" t="str">
        <f t="shared" si="11"/>
        <v/>
      </c>
      <c r="R140" t="s">
        <v>183</v>
      </c>
      <c r="S140" s="1" t="str">
        <f t="shared" si="9"/>
        <v/>
      </c>
      <c r="T140" s="1"/>
      <c r="U140" s="35" t="str">
        <f t="shared" si="12"/>
        <v/>
      </c>
    </row>
    <row r="141" spans="12:21" x14ac:dyDescent="0.25">
      <c r="L141" s="26">
        <v>138</v>
      </c>
      <c r="M141" t="s">
        <v>182</v>
      </c>
      <c r="N141" s="1" t="str">
        <f t="shared" si="10"/>
        <v/>
      </c>
      <c r="O141" s="31"/>
      <c r="P141" s="34" t="str">
        <f t="shared" si="11"/>
        <v/>
      </c>
      <c r="R141" t="s">
        <v>182</v>
      </c>
      <c r="S141" s="1" t="str">
        <f t="shared" si="9"/>
        <v/>
      </c>
      <c r="T141" s="1"/>
      <c r="U141" s="35" t="str">
        <f t="shared" si="12"/>
        <v/>
      </c>
    </row>
    <row r="142" spans="12:21" x14ac:dyDescent="0.25">
      <c r="L142" s="26">
        <v>139</v>
      </c>
      <c r="M142" t="s">
        <v>181</v>
      </c>
      <c r="N142" s="1" t="str">
        <f t="shared" si="10"/>
        <v/>
      </c>
      <c r="O142" s="31"/>
      <c r="P142" s="34" t="str">
        <f t="shared" si="11"/>
        <v/>
      </c>
      <c r="R142" t="s">
        <v>181</v>
      </c>
      <c r="S142" s="1" t="str">
        <f t="shared" si="9"/>
        <v/>
      </c>
      <c r="T142" s="1"/>
      <c r="U142" s="35" t="str">
        <f t="shared" si="12"/>
        <v/>
      </c>
    </row>
    <row r="143" spans="12:21" x14ac:dyDescent="0.25">
      <c r="L143" s="26">
        <v>140</v>
      </c>
      <c r="M143" t="s">
        <v>180</v>
      </c>
      <c r="N143" s="1" t="str">
        <f t="shared" si="10"/>
        <v/>
      </c>
      <c r="O143" s="31"/>
      <c r="P143" s="34" t="str">
        <f t="shared" si="11"/>
        <v/>
      </c>
      <c r="R143" t="s">
        <v>180</v>
      </c>
      <c r="S143" s="1" t="str">
        <f t="shared" si="9"/>
        <v/>
      </c>
      <c r="T143" s="1"/>
      <c r="U143" s="35" t="str">
        <f t="shared" si="12"/>
        <v/>
      </c>
    </row>
    <row r="144" spans="12:21" x14ac:dyDescent="0.25">
      <c r="L144" s="26">
        <v>141</v>
      </c>
      <c r="M144" t="s">
        <v>179</v>
      </c>
      <c r="N144" s="1" t="str">
        <f t="shared" si="10"/>
        <v/>
      </c>
      <c r="O144" s="31"/>
      <c r="P144" s="34" t="str">
        <f t="shared" si="11"/>
        <v/>
      </c>
      <c r="R144" t="s">
        <v>179</v>
      </c>
      <c r="S144" s="1" t="str">
        <f t="shared" si="9"/>
        <v/>
      </c>
      <c r="T144" s="1"/>
      <c r="U144" s="35" t="str">
        <f t="shared" si="12"/>
        <v/>
      </c>
    </row>
    <row r="145" spans="12:21" x14ac:dyDescent="0.25">
      <c r="L145" s="26">
        <v>142</v>
      </c>
      <c r="M145" t="s">
        <v>178</v>
      </c>
      <c r="N145" s="1" t="str">
        <f t="shared" si="10"/>
        <v/>
      </c>
      <c r="O145" s="31"/>
      <c r="P145" s="34" t="str">
        <f t="shared" si="11"/>
        <v/>
      </c>
      <c r="R145" t="s">
        <v>178</v>
      </c>
      <c r="S145" s="1" t="str">
        <f t="shared" si="9"/>
        <v/>
      </c>
      <c r="T145" s="1"/>
      <c r="U145" s="35" t="str">
        <f t="shared" si="12"/>
        <v/>
      </c>
    </row>
    <row r="146" spans="12:21" x14ac:dyDescent="0.25">
      <c r="L146" s="26">
        <v>143</v>
      </c>
      <c r="M146" t="s">
        <v>177</v>
      </c>
      <c r="N146" s="1" t="str">
        <f t="shared" si="10"/>
        <v/>
      </c>
      <c r="O146" s="31"/>
      <c r="P146" s="34" t="str">
        <f t="shared" si="11"/>
        <v/>
      </c>
      <c r="R146" t="s">
        <v>177</v>
      </c>
      <c r="S146" s="1" t="str">
        <f t="shared" si="9"/>
        <v/>
      </c>
      <c r="T146" s="1"/>
      <c r="U146" s="35" t="str">
        <f t="shared" si="12"/>
        <v/>
      </c>
    </row>
    <row r="147" spans="12:21" x14ac:dyDescent="0.25">
      <c r="L147" s="26">
        <v>144</v>
      </c>
      <c r="M147" t="s">
        <v>176</v>
      </c>
      <c r="N147" s="1" t="str">
        <f t="shared" si="10"/>
        <v/>
      </c>
      <c r="O147" s="31"/>
      <c r="P147" s="34" t="str">
        <f t="shared" si="11"/>
        <v/>
      </c>
      <c r="R147" t="s">
        <v>176</v>
      </c>
      <c r="S147" s="1" t="str">
        <f t="shared" si="9"/>
        <v/>
      </c>
      <c r="T147" s="1"/>
      <c r="U147" s="35" t="str">
        <f t="shared" si="12"/>
        <v/>
      </c>
    </row>
    <row r="148" spans="12:21" x14ac:dyDescent="0.25">
      <c r="L148" s="26">
        <v>145</v>
      </c>
      <c r="M148" t="s">
        <v>175</v>
      </c>
      <c r="N148" s="1" t="str">
        <f t="shared" si="10"/>
        <v/>
      </c>
      <c r="O148" s="31"/>
      <c r="P148" s="34" t="str">
        <f t="shared" si="11"/>
        <v/>
      </c>
      <c r="R148" t="s">
        <v>175</v>
      </c>
      <c r="S148" s="1" t="str">
        <f t="shared" si="9"/>
        <v/>
      </c>
      <c r="T148" s="1"/>
      <c r="U148" s="35" t="str">
        <f t="shared" si="12"/>
        <v/>
      </c>
    </row>
    <row r="149" spans="12:21" x14ac:dyDescent="0.25">
      <c r="L149" s="26">
        <v>146</v>
      </c>
      <c r="M149" t="s">
        <v>174</v>
      </c>
      <c r="N149" s="1" t="str">
        <f t="shared" si="10"/>
        <v/>
      </c>
      <c r="O149" s="31"/>
      <c r="P149" s="34" t="str">
        <f t="shared" si="11"/>
        <v/>
      </c>
      <c r="R149" t="s">
        <v>174</v>
      </c>
      <c r="S149" s="1" t="str">
        <f t="shared" si="9"/>
        <v/>
      </c>
      <c r="T149" s="1"/>
      <c r="U149" s="35" t="str">
        <f t="shared" si="12"/>
        <v/>
      </c>
    </row>
    <row r="150" spans="12:21" x14ac:dyDescent="0.25">
      <c r="L150" s="26">
        <v>147</v>
      </c>
      <c r="M150" t="s">
        <v>173</v>
      </c>
      <c r="N150" s="1" t="str">
        <f t="shared" si="10"/>
        <v/>
      </c>
      <c r="O150" s="31"/>
      <c r="P150" s="34" t="str">
        <f t="shared" si="11"/>
        <v/>
      </c>
      <c r="R150" t="s">
        <v>173</v>
      </c>
      <c r="S150" s="1" t="str">
        <f t="shared" si="9"/>
        <v/>
      </c>
      <c r="T150" s="1"/>
      <c r="U150" s="35" t="str">
        <f t="shared" si="12"/>
        <v/>
      </c>
    </row>
    <row r="151" spans="12:21" x14ac:dyDescent="0.25">
      <c r="L151" s="26">
        <v>148</v>
      </c>
      <c r="M151" t="s">
        <v>172</v>
      </c>
      <c r="N151" s="1" t="str">
        <f t="shared" si="10"/>
        <v/>
      </c>
      <c r="O151" s="31"/>
      <c r="P151" s="34" t="str">
        <f t="shared" si="11"/>
        <v/>
      </c>
      <c r="R151" t="s">
        <v>172</v>
      </c>
      <c r="S151" s="1" t="str">
        <f t="shared" si="9"/>
        <v/>
      </c>
      <c r="T151" s="1"/>
      <c r="U151" s="35" t="str">
        <f t="shared" si="12"/>
        <v/>
      </c>
    </row>
    <row r="152" spans="12:21" x14ac:dyDescent="0.25">
      <c r="L152" s="26">
        <v>149</v>
      </c>
      <c r="M152" t="s">
        <v>171</v>
      </c>
      <c r="N152" s="1" t="str">
        <f t="shared" si="10"/>
        <v/>
      </c>
      <c r="O152" s="31"/>
      <c r="P152" s="34" t="str">
        <f t="shared" si="11"/>
        <v/>
      </c>
      <c r="R152" t="s">
        <v>171</v>
      </c>
      <c r="S152" s="1" t="str">
        <f t="shared" ref="S152:S215" si="13">IF(L152&gt;$I$2,"",E152/$D$3-1)</f>
        <v/>
      </c>
      <c r="T152" s="1"/>
      <c r="U152" s="35" t="str">
        <f t="shared" si="12"/>
        <v/>
      </c>
    </row>
    <row r="153" spans="12:21" x14ac:dyDescent="0.25">
      <c r="L153" s="26">
        <v>150</v>
      </c>
      <c r="M153" t="s">
        <v>170</v>
      </c>
      <c r="N153" s="1" t="str">
        <f t="shared" si="10"/>
        <v/>
      </c>
      <c r="O153" s="31"/>
      <c r="P153" s="34" t="str">
        <f t="shared" si="11"/>
        <v/>
      </c>
      <c r="R153" t="s">
        <v>170</v>
      </c>
      <c r="S153" s="1" t="str">
        <f t="shared" si="13"/>
        <v/>
      </c>
      <c r="T153" s="1"/>
      <c r="U153" s="35" t="str">
        <f t="shared" si="12"/>
        <v/>
      </c>
    </row>
    <row r="154" spans="12:21" x14ac:dyDescent="0.25">
      <c r="L154" s="26">
        <v>151</v>
      </c>
      <c r="M154" t="s">
        <v>169</v>
      </c>
      <c r="N154" s="1" t="str">
        <f t="shared" si="10"/>
        <v/>
      </c>
      <c r="O154" s="31"/>
      <c r="P154" s="34" t="str">
        <f t="shared" si="11"/>
        <v/>
      </c>
      <c r="R154" t="s">
        <v>169</v>
      </c>
      <c r="S154" s="1" t="str">
        <f t="shared" si="13"/>
        <v/>
      </c>
      <c r="T154" s="1"/>
      <c r="U154" s="35" t="str">
        <f t="shared" si="12"/>
        <v/>
      </c>
    </row>
    <row r="155" spans="12:21" x14ac:dyDescent="0.25">
      <c r="L155" s="26">
        <v>152</v>
      </c>
      <c r="M155" t="s">
        <v>168</v>
      </c>
      <c r="N155" s="1" t="str">
        <f t="shared" si="10"/>
        <v/>
      </c>
      <c r="O155" s="31"/>
      <c r="P155" s="34" t="str">
        <f t="shared" si="11"/>
        <v/>
      </c>
      <c r="R155" t="s">
        <v>168</v>
      </c>
      <c r="S155" s="1" t="str">
        <f t="shared" si="13"/>
        <v/>
      </c>
      <c r="T155" s="1"/>
      <c r="U155" s="35" t="str">
        <f t="shared" si="12"/>
        <v/>
      </c>
    </row>
    <row r="156" spans="12:21" x14ac:dyDescent="0.25">
      <c r="L156" s="26">
        <v>153</v>
      </c>
      <c r="M156" t="s">
        <v>167</v>
      </c>
      <c r="N156" s="1" t="str">
        <f t="shared" si="10"/>
        <v/>
      </c>
      <c r="O156" s="31"/>
      <c r="P156" s="34" t="str">
        <f t="shared" si="11"/>
        <v/>
      </c>
      <c r="R156" t="s">
        <v>167</v>
      </c>
      <c r="S156" s="1" t="str">
        <f t="shared" si="13"/>
        <v/>
      </c>
      <c r="T156" s="1"/>
      <c r="U156" s="35" t="str">
        <f t="shared" si="12"/>
        <v/>
      </c>
    </row>
    <row r="157" spans="12:21" x14ac:dyDescent="0.25">
      <c r="L157" s="26">
        <v>154</v>
      </c>
      <c r="M157" t="s">
        <v>166</v>
      </c>
      <c r="N157" s="1" t="str">
        <f t="shared" si="10"/>
        <v/>
      </c>
      <c r="O157" s="31"/>
      <c r="P157" s="34" t="str">
        <f t="shared" si="11"/>
        <v/>
      </c>
      <c r="R157" t="s">
        <v>166</v>
      </c>
      <c r="S157" s="1" t="str">
        <f t="shared" si="13"/>
        <v/>
      </c>
      <c r="T157" s="1"/>
      <c r="U157" s="35" t="str">
        <f t="shared" si="12"/>
        <v/>
      </c>
    </row>
    <row r="158" spans="12:21" x14ac:dyDescent="0.25">
      <c r="L158" s="26">
        <v>155</v>
      </c>
      <c r="M158" t="s">
        <v>165</v>
      </c>
      <c r="N158" s="1" t="str">
        <f t="shared" si="10"/>
        <v/>
      </c>
      <c r="O158" s="31"/>
      <c r="P158" s="34" t="str">
        <f t="shared" si="11"/>
        <v/>
      </c>
      <c r="R158" t="s">
        <v>165</v>
      </c>
      <c r="S158" s="1" t="str">
        <f t="shared" si="13"/>
        <v/>
      </c>
      <c r="T158" s="1"/>
      <c r="U158" s="35" t="str">
        <f t="shared" si="12"/>
        <v/>
      </c>
    </row>
    <row r="159" spans="12:21" x14ac:dyDescent="0.25">
      <c r="L159" s="26">
        <v>156</v>
      </c>
      <c r="M159" t="s">
        <v>164</v>
      </c>
      <c r="N159" s="1" t="str">
        <f t="shared" si="10"/>
        <v/>
      </c>
      <c r="O159" s="31"/>
      <c r="P159" s="34" t="str">
        <f t="shared" si="11"/>
        <v/>
      </c>
      <c r="R159" t="s">
        <v>164</v>
      </c>
      <c r="S159" s="1" t="str">
        <f t="shared" si="13"/>
        <v/>
      </c>
      <c r="T159" s="1"/>
      <c r="U159" s="35" t="str">
        <f t="shared" si="12"/>
        <v/>
      </c>
    </row>
    <row r="160" spans="12:21" x14ac:dyDescent="0.25">
      <c r="L160" s="26">
        <v>157</v>
      </c>
      <c r="M160" t="s">
        <v>163</v>
      </c>
      <c r="N160" s="1" t="str">
        <f t="shared" si="10"/>
        <v/>
      </c>
      <c r="O160" s="31"/>
      <c r="P160" s="34" t="str">
        <f t="shared" si="11"/>
        <v/>
      </c>
      <c r="R160" t="s">
        <v>163</v>
      </c>
      <c r="S160" s="1" t="str">
        <f t="shared" si="13"/>
        <v/>
      </c>
      <c r="T160" s="1"/>
      <c r="U160" s="35" t="str">
        <f t="shared" si="12"/>
        <v/>
      </c>
    </row>
    <row r="161" spans="12:21" x14ac:dyDescent="0.25">
      <c r="L161" s="26">
        <v>158</v>
      </c>
      <c r="M161" t="s">
        <v>162</v>
      </c>
      <c r="N161" s="1" t="str">
        <f t="shared" si="10"/>
        <v/>
      </c>
      <c r="O161" s="31"/>
      <c r="P161" s="34" t="str">
        <f t="shared" si="11"/>
        <v/>
      </c>
      <c r="R161" t="s">
        <v>162</v>
      </c>
      <c r="S161" s="1" t="str">
        <f t="shared" si="13"/>
        <v/>
      </c>
      <c r="T161" s="1"/>
      <c r="U161" s="35" t="str">
        <f t="shared" si="12"/>
        <v/>
      </c>
    </row>
    <row r="162" spans="12:21" x14ac:dyDescent="0.25">
      <c r="L162" s="26">
        <v>159</v>
      </c>
      <c r="M162" t="s">
        <v>161</v>
      </c>
      <c r="N162" s="1" t="str">
        <f t="shared" si="10"/>
        <v/>
      </c>
      <c r="O162" s="31"/>
      <c r="P162" s="34" t="str">
        <f t="shared" si="11"/>
        <v/>
      </c>
      <c r="R162" t="s">
        <v>161</v>
      </c>
      <c r="S162" s="1" t="str">
        <f t="shared" si="13"/>
        <v/>
      </c>
      <c r="T162" s="1"/>
      <c r="U162" s="35" t="str">
        <f t="shared" si="12"/>
        <v/>
      </c>
    </row>
    <row r="163" spans="12:21" x14ac:dyDescent="0.25">
      <c r="L163" s="26">
        <v>160</v>
      </c>
      <c r="M163" t="s">
        <v>160</v>
      </c>
      <c r="N163" s="1" t="str">
        <f t="shared" si="10"/>
        <v/>
      </c>
      <c r="O163" s="31"/>
      <c r="P163" s="34" t="str">
        <f t="shared" si="11"/>
        <v/>
      </c>
      <c r="R163" t="s">
        <v>160</v>
      </c>
      <c r="S163" s="1" t="str">
        <f t="shared" si="13"/>
        <v/>
      </c>
      <c r="T163" s="1"/>
      <c r="U163" s="35" t="str">
        <f t="shared" si="12"/>
        <v/>
      </c>
    </row>
    <row r="164" spans="12:21" x14ac:dyDescent="0.25">
      <c r="L164" s="26">
        <v>161</v>
      </c>
      <c r="M164" t="s">
        <v>159</v>
      </c>
      <c r="N164" s="1" t="str">
        <f t="shared" si="10"/>
        <v/>
      </c>
      <c r="O164" s="31"/>
      <c r="P164" s="34" t="str">
        <f t="shared" si="11"/>
        <v/>
      </c>
      <c r="R164" t="s">
        <v>159</v>
      </c>
      <c r="S164" s="1" t="str">
        <f t="shared" si="13"/>
        <v/>
      </c>
      <c r="T164" s="1"/>
      <c r="U164" s="35" t="str">
        <f t="shared" si="12"/>
        <v/>
      </c>
    </row>
    <row r="165" spans="12:21" x14ac:dyDescent="0.25">
      <c r="L165" s="26">
        <v>162</v>
      </c>
      <c r="M165" t="s">
        <v>158</v>
      </c>
      <c r="N165" s="1" t="str">
        <f t="shared" si="10"/>
        <v/>
      </c>
      <c r="O165" s="31"/>
      <c r="P165" s="34" t="str">
        <f t="shared" si="11"/>
        <v/>
      </c>
      <c r="R165" t="s">
        <v>158</v>
      </c>
      <c r="S165" s="1" t="str">
        <f t="shared" si="13"/>
        <v/>
      </c>
      <c r="T165" s="1"/>
      <c r="U165" s="35" t="str">
        <f t="shared" si="12"/>
        <v/>
      </c>
    </row>
    <row r="166" spans="12:21" x14ac:dyDescent="0.25">
      <c r="L166" s="26">
        <v>163</v>
      </c>
      <c r="M166" t="s">
        <v>157</v>
      </c>
      <c r="N166" s="1" t="str">
        <f t="shared" si="10"/>
        <v/>
      </c>
      <c r="O166" s="31"/>
      <c r="P166" s="34" t="str">
        <f t="shared" si="11"/>
        <v/>
      </c>
      <c r="R166" t="s">
        <v>157</v>
      </c>
      <c r="S166" s="1" t="str">
        <f t="shared" si="13"/>
        <v/>
      </c>
      <c r="T166" s="1"/>
      <c r="U166" s="35" t="str">
        <f t="shared" si="12"/>
        <v/>
      </c>
    </row>
    <row r="167" spans="12:21" x14ac:dyDescent="0.25">
      <c r="L167" s="26">
        <v>164</v>
      </c>
      <c r="M167" t="s">
        <v>156</v>
      </c>
      <c r="N167" s="1" t="str">
        <f t="shared" si="10"/>
        <v/>
      </c>
      <c r="O167" s="31"/>
      <c r="P167" s="34" t="str">
        <f t="shared" si="11"/>
        <v/>
      </c>
      <c r="R167" t="s">
        <v>156</v>
      </c>
      <c r="S167" s="1" t="str">
        <f t="shared" si="13"/>
        <v/>
      </c>
      <c r="T167" s="1"/>
      <c r="U167" s="35" t="str">
        <f t="shared" si="12"/>
        <v/>
      </c>
    </row>
    <row r="168" spans="12:21" x14ac:dyDescent="0.25">
      <c r="L168" s="26">
        <v>165</v>
      </c>
      <c r="M168" t="s">
        <v>155</v>
      </c>
      <c r="N168" s="1" t="str">
        <f t="shared" si="10"/>
        <v/>
      </c>
      <c r="O168" s="31"/>
      <c r="P168" s="34" t="str">
        <f t="shared" si="11"/>
        <v/>
      </c>
      <c r="R168" t="s">
        <v>155</v>
      </c>
      <c r="S168" s="1" t="str">
        <f t="shared" si="13"/>
        <v/>
      </c>
      <c r="T168" s="1"/>
      <c r="U168" s="35" t="str">
        <f t="shared" si="12"/>
        <v/>
      </c>
    </row>
    <row r="169" spans="12:21" x14ac:dyDescent="0.25">
      <c r="L169" s="26">
        <v>166</v>
      </c>
      <c r="M169" t="s">
        <v>154</v>
      </c>
      <c r="N169" s="1" t="str">
        <f t="shared" si="10"/>
        <v/>
      </c>
      <c r="O169" s="31"/>
      <c r="P169" s="34" t="str">
        <f t="shared" si="11"/>
        <v/>
      </c>
      <c r="R169" t="s">
        <v>154</v>
      </c>
      <c r="S169" s="1" t="str">
        <f t="shared" si="13"/>
        <v/>
      </c>
      <c r="T169" s="1"/>
      <c r="U169" s="35" t="str">
        <f t="shared" si="12"/>
        <v/>
      </c>
    </row>
    <row r="170" spans="12:21" x14ac:dyDescent="0.25">
      <c r="L170" s="26">
        <v>167</v>
      </c>
      <c r="M170" t="s">
        <v>153</v>
      </c>
      <c r="N170" s="1" t="str">
        <f t="shared" si="10"/>
        <v/>
      </c>
      <c r="O170" s="31"/>
      <c r="P170" s="34" t="str">
        <f t="shared" si="11"/>
        <v/>
      </c>
      <c r="R170" t="s">
        <v>153</v>
      </c>
      <c r="S170" s="1" t="str">
        <f t="shared" si="13"/>
        <v/>
      </c>
      <c r="T170" s="1"/>
      <c r="U170" s="35" t="str">
        <f t="shared" si="12"/>
        <v/>
      </c>
    </row>
    <row r="171" spans="12:21" x14ac:dyDescent="0.25">
      <c r="L171" s="26">
        <v>168</v>
      </c>
      <c r="M171" t="s">
        <v>152</v>
      </c>
      <c r="N171" s="1" t="str">
        <f t="shared" si="10"/>
        <v/>
      </c>
      <c r="O171" s="31"/>
      <c r="P171" s="34" t="str">
        <f t="shared" si="11"/>
        <v/>
      </c>
      <c r="R171" t="s">
        <v>152</v>
      </c>
      <c r="S171" s="1" t="str">
        <f t="shared" si="13"/>
        <v/>
      </c>
      <c r="T171" s="1"/>
      <c r="U171" s="35" t="str">
        <f t="shared" si="12"/>
        <v/>
      </c>
    </row>
    <row r="172" spans="12:21" x14ac:dyDescent="0.25">
      <c r="L172" s="26">
        <v>169</v>
      </c>
      <c r="M172" t="s">
        <v>151</v>
      </c>
      <c r="N172" s="1" t="str">
        <f t="shared" si="10"/>
        <v/>
      </c>
      <c r="O172" s="31"/>
      <c r="P172" s="34" t="str">
        <f t="shared" si="11"/>
        <v/>
      </c>
      <c r="R172" t="s">
        <v>151</v>
      </c>
      <c r="S172" s="1" t="str">
        <f t="shared" si="13"/>
        <v/>
      </c>
      <c r="T172" s="1"/>
      <c r="U172" s="35" t="str">
        <f t="shared" si="12"/>
        <v/>
      </c>
    </row>
    <row r="173" spans="12:21" x14ac:dyDescent="0.25">
      <c r="L173" s="26">
        <v>170</v>
      </c>
      <c r="M173" t="s">
        <v>150</v>
      </c>
      <c r="N173" s="1" t="str">
        <f t="shared" si="10"/>
        <v/>
      </c>
      <c r="O173" s="31"/>
      <c r="P173" s="34" t="str">
        <f t="shared" si="11"/>
        <v/>
      </c>
      <c r="R173" t="s">
        <v>150</v>
      </c>
      <c r="S173" s="1" t="str">
        <f t="shared" si="13"/>
        <v/>
      </c>
      <c r="T173" s="1"/>
      <c r="U173" s="35" t="str">
        <f t="shared" si="12"/>
        <v/>
      </c>
    </row>
    <row r="174" spans="12:21" x14ac:dyDescent="0.25">
      <c r="L174" s="26">
        <v>171</v>
      </c>
      <c r="M174" t="s">
        <v>149</v>
      </c>
      <c r="N174" s="1" t="str">
        <f t="shared" si="10"/>
        <v/>
      </c>
      <c r="O174" s="31"/>
      <c r="P174" s="34" t="str">
        <f t="shared" si="11"/>
        <v/>
      </c>
      <c r="R174" t="s">
        <v>149</v>
      </c>
      <c r="S174" s="1" t="str">
        <f t="shared" si="13"/>
        <v/>
      </c>
      <c r="T174" s="1"/>
      <c r="U174" s="35" t="str">
        <f t="shared" si="12"/>
        <v/>
      </c>
    </row>
    <row r="175" spans="12:21" x14ac:dyDescent="0.25">
      <c r="L175" s="26">
        <v>172</v>
      </c>
      <c r="M175" t="s">
        <v>148</v>
      </c>
      <c r="N175" s="1" t="str">
        <f t="shared" si="10"/>
        <v/>
      </c>
      <c r="O175" s="31"/>
      <c r="P175" s="34" t="str">
        <f t="shared" si="11"/>
        <v/>
      </c>
      <c r="R175" t="s">
        <v>148</v>
      </c>
      <c r="S175" s="1" t="str">
        <f t="shared" si="13"/>
        <v/>
      </c>
      <c r="T175" s="1"/>
      <c r="U175" s="35" t="str">
        <f t="shared" si="12"/>
        <v/>
      </c>
    </row>
    <row r="176" spans="12:21" x14ac:dyDescent="0.25">
      <c r="L176" s="26">
        <v>173</v>
      </c>
      <c r="M176" t="s">
        <v>147</v>
      </c>
      <c r="N176" s="1" t="str">
        <f t="shared" si="10"/>
        <v/>
      </c>
      <c r="O176" s="31"/>
      <c r="P176" s="34" t="str">
        <f t="shared" si="11"/>
        <v/>
      </c>
      <c r="R176" t="s">
        <v>147</v>
      </c>
      <c r="S176" s="1" t="str">
        <f t="shared" si="13"/>
        <v/>
      </c>
      <c r="T176" s="1"/>
      <c r="U176" s="35" t="str">
        <f t="shared" si="12"/>
        <v/>
      </c>
    </row>
    <row r="177" spans="12:21" x14ac:dyDescent="0.25">
      <c r="L177" s="26">
        <v>174</v>
      </c>
      <c r="M177" t="s">
        <v>146</v>
      </c>
      <c r="N177" s="1" t="str">
        <f t="shared" si="10"/>
        <v/>
      </c>
      <c r="O177" s="31"/>
      <c r="P177" s="34" t="str">
        <f t="shared" si="11"/>
        <v/>
      </c>
      <c r="R177" t="s">
        <v>146</v>
      </c>
      <c r="S177" s="1" t="str">
        <f t="shared" si="13"/>
        <v/>
      </c>
      <c r="T177" s="1"/>
      <c r="U177" s="35" t="str">
        <f t="shared" si="12"/>
        <v/>
      </c>
    </row>
    <row r="178" spans="12:21" x14ac:dyDescent="0.25">
      <c r="L178" s="26">
        <v>175</v>
      </c>
      <c r="M178" t="s">
        <v>145</v>
      </c>
      <c r="N178" s="1" t="str">
        <f t="shared" si="10"/>
        <v/>
      </c>
      <c r="O178" s="31"/>
      <c r="P178" s="34" t="str">
        <f t="shared" si="11"/>
        <v/>
      </c>
      <c r="R178" t="s">
        <v>145</v>
      </c>
      <c r="S178" s="1" t="str">
        <f t="shared" si="13"/>
        <v/>
      </c>
      <c r="T178" s="1"/>
      <c r="U178" s="35" t="str">
        <f t="shared" si="12"/>
        <v/>
      </c>
    </row>
    <row r="179" spans="12:21" x14ac:dyDescent="0.25">
      <c r="L179" s="26">
        <v>176</v>
      </c>
      <c r="M179" t="s">
        <v>144</v>
      </c>
      <c r="N179" s="1" t="str">
        <f t="shared" si="10"/>
        <v/>
      </c>
      <c r="O179" s="31"/>
      <c r="P179" s="34" t="str">
        <f t="shared" si="11"/>
        <v/>
      </c>
      <c r="R179" t="s">
        <v>144</v>
      </c>
      <c r="S179" s="1" t="str">
        <f t="shared" si="13"/>
        <v/>
      </c>
      <c r="T179" s="1"/>
      <c r="U179" s="35" t="str">
        <f t="shared" si="12"/>
        <v/>
      </c>
    </row>
    <row r="180" spans="12:21" x14ac:dyDescent="0.25">
      <c r="L180" s="26">
        <v>177</v>
      </c>
      <c r="M180" t="s">
        <v>143</v>
      </c>
      <c r="N180" s="1" t="str">
        <f t="shared" si="10"/>
        <v/>
      </c>
      <c r="O180" s="31"/>
      <c r="P180" s="34" t="str">
        <f t="shared" si="11"/>
        <v/>
      </c>
      <c r="R180" t="s">
        <v>143</v>
      </c>
      <c r="S180" s="1" t="str">
        <f t="shared" si="13"/>
        <v/>
      </c>
      <c r="T180" s="1"/>
      <c r="U180" s="35" t="str">
        <f t="shared" si="12"/>
        <v/>
      </c>
    </row>
    <row r="181" spans="12:21" x14ac:dyDescent="0.25">
      <c r="L181" s="26">
        <v>178</v>
      </c>
      <c r="M181" t="s">
        <v>142</v>
      </c>
      <c r="N181" s="1" t="str">
        <f t="shared" si="10"/>
        <v/>
      </c>
      <c r="O181" s="31"/>
      <c r="P181" s="34" t="str">
        <f t="shared" si="11"/>
        <v/>
      </c>
      <c r="R181" t="s">
        <v>142</v>
      </c>
      <c r="S181" s="1" t="str">
        <f t="shared" si="13"/>
        <v/>
      </c>
      <c r="T181" s="1"/>
      <c r="U181" s="35" t="str">
        <f t="shared" si="12"/>
        <v/>
      </c>
    </row>
    <row r="182" spans="12:21" x14ac:dyDescent="0.25">
      <c r="L182" s="26">
        <v>179</v>
      </c>
      <c r="M182" t="s">
        <v>141</v>
      </c>
      <c r="N182" s="1" t="str">
        <f t="shared" si="10"/>
        <v/>
      </c>
      <c r="O182" s="31"/>
      <c r="P182" s="34" t="str">
        <f t="shared" si="11"/>
        <v/>
      </c>
      <c r="R182" t="s">
        <v>141</v>
      </c>
      <c r="S182" s="1" t="str">
        <f t="shared" si="13"/>
        <v/>
      </c>
      <c r="T182" s="1"/>
      <c r="U182" s="35" t="str">
        <f t="shared" si="12"/>
        <v/>
      </c>
    </row>
    <row r="183" spans="12:21" x14ac:dyDescent="0.25">
      <c r="L183" s="26">
        <v>180</v>
      </c>
      <c r="M183" t="s">
        <v>140</v>
      </c>
      <c r="N183" s="1" t="str">
        <f t="shared" si="10"/>
        <v/>
      </c>
      <c r="O183" s="31"/>
      <c r="P183" s="34" t="str">
        <f t="shared" si="11"/>
        <v/>
      </c>
      <c r="R183" t="s">
        <v>140</v>
      </c>
      <c r="S183" s="1" t="str">
        <f t="shared" si="13"/>
        <v/>
      </c>
      <c r="T183" s="1"/>
      <c r="U183" s="35" t="str">
        <f t="shared" si="12"/>
        <v/>
      </c>
    </row>
    <row r="184" spans="12:21" x14ac:dyDescent="0.25">
      <c r="L184" s="26">
        <v>181</v>
      </c>
      <c r="M184" t="s">
        <v>139</v>
      </c>
      <c r="N184" s="1" t="str">
        <f t="shared" si="10"/>
        <v/>
      </c>
      <c r="O184" s="31"/>
      <c r="P184" s="34" t="str">
        <f t="shared" si="11"/>
        <v/>
      </c>
      <c r="R184" t="s">
        <v>139</v>
      </c>
      <c r="S184" s="1" t="str">
        <f t="shared" si="13"/>
        <v/>
      </c>
      <c r="T184" s="1"/>
      <c r="U184" s="35" t="str">
        <f t="shared" si="12"/>
        <v/>
      </c>
    </row>
    <row r="185" spans="12:21" x14ac:dyDescent="0.25">
      <c r="L185" s="26">
        <v>182</v>
      </c>
      <c r="M185" t="s">
        <v>138</v>
      </c>
      <c r="N185" s="1" t="str">
        <f t="shared" si="10"/>
        <v/>
      </c>
      <c r="O185" s="31"/>
      <c r="P185" s="34" t="str">
        <f t="shared" si="11"/>
        <v/>
      </c>
      <c r="R185" t="s">
        <v>138</v>
      </c>
      <c r="S185" s="1" t="str">
        <f t="shared" si="13"/>
        <v/>
      </c>
      <c r="T185" s="1"/>
      <c r="U185" s="35" t="str">
        <f t="shared" si="12"/>
        <v/>
      </c>
    </row>
    <row r="186" spans="12:21" x14ac:dyDescent="0.25">
      <c r="L186" s="26">
        <v>183</v>
      </c>
      <c r="M186" t="s">
        <v>137</v>
      </c>
      <c r="N186" s="1" t="str">
        <f t="shared" si="10"/>
        <v/>
      </c>
      <c r="O186" s="31"/>
      <c r="P186" s="34" t="str">
        <f t="shared" si="11"/>
        <v/>
      </c>
      <c r="R186" t="s">
        <v>137</v>
      </c>
      <c r="S186" s="1" t="str">
        <f t="shared" si="13"/>
        <v/>
      </c>
      <c r="T186" s="1"/>
      <c r="U186" s="35" t="str">
        <f t="shared" si="12"/>
        <v/>
      </c>
    </row>
    <row r="187" spans="12:21" x14ac:dyDescent="0.25">
      <c r="L187" s="26">
        <v>184</v>
      </c>
      <c r="M187" t="s">
        <v>136</v>
      </c>
      <c r="N187" s="1" t="str">
        <f t="shared" si="10"/>
        <v/>
      </c>
      <c r="O187" s="31"/>
      <c r="P187" s="34" t="str">
        <f t="shared" si="11"/>
        <v/>
      </c>
      <c r="R187" t="s">
        <v>136</v>
      </c>
      <c r="S187" s="1" t="str">
        <f t="shared" si="13"/>
        <v/>
      </c>
      <c r="T187" s="1"/>
      <c r="U187" s="35" t="str">
        <f t="shared" si="12"/>
        <v/>
      </c>
    </row>
    <row r="188" spans="12:21" x14ac:dyDescent="0.25">
      <c r="L188" s="26">
        <v>185</v>
      </c>
      <c r="M188" t="s">
        <v>135</v>
      </c>
      <c r="N188" s="1" t="str">
        <f t="shared" si="10"/>
        <v/>
      </c>
      <c r="O188" s="31"/>
      <c r="P188" s="34" t="str">
        <f t="shared" si="11"/>
        <v/>
      </c>
      <c r="R188" t="s">
        <v>135</v>
      </c>
      <c r="S188" s="1" t="str">
        <f t="shared" si="13"/>
        <v/>
      </c>
      <c r="T188" s="1"/>
      <c r="U188" s="35" t="str">
        <f t="shared" si="12"/>
        <v/>
      </c>
    </row>
    <row r="189" spans="12:21" x14ac:dyDescent="0.25">
      <c r="L189" s="26">
        <v>186</v>
      </c>
      <c r="M189" t="s">
        <v>134</v>
      </c>
      <c r="N189" s="1" t="str">
        <f t="shared" si="10"/>
        <v/>
      </c>
      <c r="O189" s="31"/>
      <c r="P189" s="34" t="str">
        <f t="shared" si="11"/>
        <v/>
      </c>
      <c r="R189" t="s">
        <v>134</v>
      </c>
      <c r="S189" s="1" t="str">
        <f t="shared" si="13"/>
        <v/>
      </c>
      <c r="T189" s="1"/>
      <c r="U189" s="35" t="str">
        <f t="shared" si="12"/>
        <v/>
      </c>
    </row>
    <row r="190" spans="12:21" x14ac:dyDescent="0.25">
      <c r="L190" s="26">
        <v>187</v>
      </c>
      <c r="M190" t="s">
        <v>133</v>
      </c>
      <c r="N190" s="1" t="str">
        <f t="shared" si="10"/>
        <v/>
      </c>
      <c r="O190" s="31"/>
      <c r="P190" s="34" t="str">
        <f t="shared" si="11"/>
        <v/>
      </c>
      <c r="R190" t="s">
        <v>133</v>
      </c>
      <c r="S190" s="1" t="str">
        <f t="shared" si="13"/>
        <v/>
      </c>
      <c r="T190" s="1"/>
      <c r="U190" s="35" t="str">
        <f t="shared" si="12"/>
        <v/>
      </c>
    </row>
    <row r="191" spans="12:21" x14ac:dyDescent="0.25">
      <c r="L191" s="26">
        <v>188</v>
      </c>
      <c r="M191" t="s">
        <v>132</v>
      </c>
      <c r="N191" s="1" t="str">
        <f t="shared" si="10"/>
        <v/>
      </c>
      <c r="O191" s="31"/>
      <c r="P191" s="34" t="str">
        <f t="shared" si="11"/>
        <v/>
      </c>
      <c r="R191" t="s">
        <v>132</v>
      </c>
      <c r="S191" s="1" t="str">
        <f t="shared" si="13"/>
        <v/>
      </c>
      <c r="T191" s="1"/>
      <c r="U191" s="35" t="str">
        <f t="shared" si="12"/>
        <v/>
      </c>
    </row>
    <row r="192" spans="12:21" x14ac:dyDescent="0.25">
      <c r="L192" s="26">
        <v>189</v>
      </c>
      <c r="M192" t="s">
        <v>131</v>
      </c>
      <c r="N192" s="1" t="str">
        <f t="shared" si="10"/>
        <v/>
      </c>
      <c r="O192" s="31"/>
      <c r="P192" s="34" t="str">
        <f t="shared" si="11"/>
        <v/>
      </c>
      <c r="R192" t="s">
        <v>131</v>
      </c>
      <c r="S192" s="1" t="str">
        <f t="shared" si="13"/>
        <v/>
      </c>
      <c r="T192" s="1"/>
      <c r="U192" s="35" t="str">
        <f t="shared" si="12"/>
        <v/>
      </c>
    </row>
    <row r="193" spans="12:21" x14ac:dyDescent="0.25">
      <c r="L193" s="26">
        <v>190</v>
      </c>
      <c r="M193" t="s">
        <v>130</v>
      </c>
      <c r="N193" s="1" t="str">
        <f t="shared" si="10"/>
        <v/>
      </c>
      <c r="O193" s="31"/>
      <c r="P193" s="34" t="str">
        <f t="shared" si="11"/>
        <v/>
      </c>
      <c r="R193" t="s">
        <v>130</v>
      </c>
      <c r="S193" s="1" t="str">
        <f t="shared" si="13"/>
        <v/>
      </c>
      <c r="T193" s="1"/>
      <c r="U193" s="35" t="str">
        <f t="shared" si="12"/>
        <v/>
      </c>
    </row>
    <row r="194" spans="12:21" x14ac:dyDescent="0.25">
      <c r="L194" s="26">
        <v>191</v>
      </c>
      <c r="M194" t="s">
        <v>129</v>
      </c>
      <c r="N194" s="1" t="str">
        <f t="shared" si="10"/>
        <v/>
      </c>
      <c r="O194" s="31"/>
      <c r="P194" s="34" t="str">
        <f t="shared" si="11"/>
        <v/>
      </c>
      <c r="R194" t="s">
        <v>129</v>
      </c>
      <c r="S194" s="1" t="str">
        <f t="shared" si="13"/>
        <v/>
      </c>
      <c r="T194" s="1"/>
      <c r="U194" s="35" t="str">
        <f t="shared" si="12"/>
        <v/>
      </c>
    </row>
    <row r="195" spans="12:21" x14ac:dyDescent="0.25">
      <c r="L195" s="26">
        <v>192</v>
      </c>
      <c r="M195" t="s">
        <v>128</v>
      </c>
      <c r="N195" s="1" t="str">
        <f t="shared" si="10"/>
        <v/>
      </c>
      <c r="O195" s="31"/>
      <c r="P195" s="34" t="str">
        <f t="shared" si="11"/>
        <v/>
      </c>
      <c r="R195" t="s">
        <v>128</v>
      </c>
      <c r="S195" s="1" t="str">
        <f t="shared" si="13"/>
        <v/>
      </c>
      <c r="T195" s="1"/>
      <c r="U195" s="35" t="str">
        <f t="shared" si="12"/>
        <v/>
      </c>
    </row>
    <row r="196" spans="12:21" x14ac:dyDescent="0.25">
      <c r="L196" s="26">
        <v>193</v>
      </c>
      <c r="M196" t="s">
        <v>127</v>
      </c>
      <c r="N196" s="1" t="str">
        <f t="shared" si="10"/>
        <v/>
      </c>
      <c r="O196" s="31"/>
      <c r="P196" s="34" t="str">
        <f t="shared" si="11"/>
        <v/>
      </c>
      <c r="R196" t="s">
        <v>127</v>
      </c>
      <c r="S196" s="1" t="str">
        <f t="shared" si="13"/>
        <v/>
      </c>
      <c r="T196" s="1"/>
      <c r="U196" s="35" t="str">
        <f t="shared" si="12"/>
        <v/>
      </c>
    </row>
    <row r="197" spans="12:21" x14ac:dyDescent="0.25">
      <c r="L197" s="26">
        <v>194</v>
      </c>
      <c r="M197" t="s">
        <v>126</v>
      </c>
      <c r="N197" s="1" t="str">
        <f t="shared" ref="N197:N252" si="14">IF(L197&gt;$I$2,"",F197/$D$3-1)</f>
        <v/>
      </c>
      <c r="O197" s="31"/>
      <c r="P197" s="34" t="str">
        <f t="shared" ref="P197:P253" si="15">IF(AND(L197&lt;=$I$2,N197&lt;= -0.1),1,"")</f>
        <v/>
      </c>
      <c r="R197" t="s">
        <v>126</v>
      </c>
      <c r="S197" s="1" t="str">
        <f t="shared" si="13"/>
        <v/>
      </c>
      <c r="T197" s="1"/>
      <c r="U197" s="35" t="str">
        <f t="shared" ref="U197:U253" si="16">IF(AND(L197&lt;=$I$2,S197&gt;=0.2),1,"")</f>
        <v/>
      </c>
    </row>
    <row r="198" spans="12:21" x14ac:dyDescent="0.25">
      <c r="L198" s="26">
        <v>195</v>
      </c>
      <c r="M198" t="s">
        <v>125</v>
      </c>
      <c r="N198" s="1" t="str">
        <f t="shared" si="14"/>
        <v/>
      </c>
      <c r="O198" s="31"/>
      <c r="P198" s="34" t="str">
        <f t="shared" si="15"/>
        <v/>
      </c>
      <c r="R198" t="s">
        <v>125</v>
      </c>
      <c r="S198" s="1" t="str">
        <f t="shared" si="13"/>
        <v/>
      </c>
      <c r="T198" s="1"/>
      <c r="U198" s="35" t="str">
        <f t="shared" si="16"/>
        <v/>
      </c>
    </row>
    <row r="199" spans="12:21" x14ac:dyDescent="0.25">
      <c r="L199" s="26">
        <v>196</v>
      </c>
      <c r="M199" t="s">
        <v>124</v>
      </c>
      <c r="N199" s="1" t="str">
        <f t="shared" si="14"/>
        <v/>
      </c>
      <c r="O199" s="31"/>
      <c r="P199" s="34" t="str">
        <f t="shared" si="15"/>
        <v/>
      </c>
      <c r="R199" t="s">
        <v>124</v>
      </c>
      <c r="S199" s="1" t="str">
        <f t="shared" si="13"/>
        <v/>
      </c>
      <c r="T199" s="1"/>
      <c r="U199" s="35" t="str">
        <f t="shared" si="16"/>
        <v/>
      </c>
    </row>
    <row r="200" spans="12:21" x14ac:dyDescent="0.25">
      <c r="L200" s="26">
        <v>197</v>
      </c>
      <c r="M200" t="s">
        <v>123</v>
      </c>
      <c r="N200" s="1" t="str">
        <f t="shared" si="14"/>
        <v/>
      </c>
      <c r="O200" s="31"/>
      <c r="P200" s="34" t="str">
        <f t="shared" si="15"/>
        <v/>
      </c>
      <c r="R200" t="s">
        <v>123</v>
      </c>
      <c r="S200" s="1" t="str">
        <f t="shared" si="13"/>
        <v/>
      </c>
      <c r="T200" s="1"/>
      <c r="U200" s="35" t="str">
        <f t="shared" si="16"/>
        <v/>
      </c>
    </row>
    <row r="201" spans="12:21" x14ac:dyDescent="0.25">
      <c r="L201" s="26">
        <v>198</v>
      </c>
      <c r="M201" t="s">
        <v>122</v>
      </c>
      <c r="N201" s="1" t="str">
        <f t="shared" si="14"/>
        <v/>
      </c>
      <c r="O201" s="31"/>
      <c r="P201" s="34" t="str">
        <f t="shared" si="15"/>
        <v/>
      </c>
      <c r="R201" t="s">
        <v>122</v>
      </c>
      <c r="S201" s="1" t="str">
        <f t="shared" si="13"/>
        <v/>
      </c>
      <c r="T201" s="1"/>
      <c r="U201" s="35" t="str">
        <f t="shared" si="16"/>
        <v/>
      </c>
    </row>
    <row r="202" spans="12:21" x14ac:dyDescent="0.25">
      <c r="L202" s="26">
        <v>199</v>
      </c>
      <c r="M202" t="s">
        <v>121</v>
      </c>
      <c r="N202" s="1" t="str">
        <f t="shared" si="14"/>
        <v/>
      </c>
      <c r="O202" s="31"/>
      <c r="P202" s="34" t="str">
        <f t="shared" si="15"/>
        <v/>
      </c>
      <c r="R202" t="s">
        <v>121</v>
      </c>
      <c r="S202" s="1" t="str">
        <f t="shared" si="13"/>
        <v/>
      </c>
      <c r="T202" s="1"/>
      <c r="U202" s="35" t="str">
        <f t="shared" si="16"/>
        <v/>
      </c>
    </row>
    <row r="203" spans="12:21" x14ac:dyDescent="0.25">
      <c r="L203" s="26">
        <v>200</v>
      </c>
      <c r="M203" t="s">
        <v>120</v>
      </c>
      <c r="N203" s="1" t="str">
        <f t="shared" si="14"/>
        <v/>
      </c>
      <c r="O203" s="31"/>
      <c r="P203" s="34" t="str">
        <f t="shared" si="15"/>
        <v/>
      </c>
      <c r="R203" t="s">
        <v>120</v>
      </c>
      <c r="S203" s="1" t="str">
        <f t="shared" si="13"/>
        <v/>
      </c>
      <c r="T203" s="1"/>
      <c r="U203" s="35" t="str">
        <f t="shared" si="16"/>
        <v/>
      </c>
    </row>
    <row r="204" spans="12:21" x14ac:dyDescent="0.25">
      <c r="L204" s="26">
        <v>201</v>
      </c>
      <c r="M204" t="s">
        <v>119</v>
      </c>
      <c r="N204" s="1" t="str">
        <f t="shared" si="14"/>
        <v/>
      </c>
      <c r="O204" s="31"/>
      <c r="P204" s="34" t="str">
        <f t="shared" si="15"/>
        <v/>
      </c>
      <c r="R204" t="s">
        <v>119</v>
      </c>
      <c r="S204" s="1" t="str">
        <f t="shared" si="13"/>
        <v/>
      </c>
      <c r="T204" s="1"/>
      <c r="U204" s="35" t="str">
        <f t="shared" si="16"/>
        <v/>
      </c>
    </row>
    <row r="205" spans="12:21" x14ac:dyDescent="0.25">
      <c r="L205" s="26">
        <v>202</v>
      </c>
      <c r="M205" t="s">
        <v>118</v>
      </c>
      <c r="N205" s="1" t="str">
        <f t="shared" si="14"/>
        <v/>
      </c>
      <c r="O205" s="31"/>
      <c r="P205" s="34" t="str">
        <f t="shared" si="15"/>
        <v/>
      </c>
      <c r="R205" t="s">
        <v>118</v>
      </c>
      <c r="S205" s="1" t="str">
        <f t="shared" si="13"/>
        <v/>
      </c>
      <c r="T205" s="1"/>
      <c r="U205" s="35" t="str">
        <f t="shared" si="16"/>
        <v/>
      </c>
    </row>
    <row r="206" spans="12:21" x14ac:dyDescent="0.25">
      <c r="L206" s="26">
        <v>203</v>
      </c>
      <c r="M206" t="s">
        <v>117</v>
      </c>
      <c r="N206" s="1" t="str">
        <f t="shared" si="14"/>
        <v/>
      </c>
      <c r="O206" s="31"/>
      <c r="P206" s="34" t="str">
        <f t="shared" si="15"/>
        <v/>
      </c>
      <c r="R206" t="s">
        <v>117</v>
      </c>
      <c r="S206" s="1" t="str">
        <f t="shared" si="13"/>
        <v/>
      </c>
      <c r="T206" s="1"/>
      <c r="U206" s="35" t="str">
        <f t="shared" si="16"/>
        <v/>
      </c>
    </row>
    <row r="207" spans="12:21" x14ac:dyDescent="0.25">
      <c r="L207" s="26">
        <v>204</v>
      </c>
      <c r="M207" t="s">
        <v>116</v>
      </c>
      <c r="N207" s="1" t="str">
        <f t="shared" si="14"/>
        <v/>
      </c>
      <c r="O207" s="31"/>
      <c r="P207" s="34" t="str">
        <f t="shared" si="15"/>
        <v/>
      </c>
      <c r="R207" t="s">
        <v>116</v>
      </c>
      <c r="S207" s="1" t="str">
        <f t="shared" si="13"/>
        <v/>
      </c>
      <c r="T207" s="1"/>
      <c r="U207" s="35" t="str">
        <f t="shared" si="16"/>
        <v/>
      </c>
    </row>
    <row r="208" spans="12:21" x14ac:dyDescent="0.25">
      <c r="L208" s="26">
        <v>205</v>
      </c>
      <c r="M208" t="s">
        <v>115</v>
      </c>
      <c r="N208" s="1" t="str">
        <f t="shared" si="14"/>
        <v/>
      </c>
      <c r="O208" s="31"/>
      <c r="P208" s="34" t="str">
        <f t="shared" si="15"/>
        <v/>
      </c>
      <c r="R208" t="s">
        <v>115</v>
      </c>
      <c r="S208" s="1" t="str">
        <f t="shared" si="13"/>
        <v/>
      </c>
      <c r="T208" s="1"/>
      <c r="U208" s="35" t="str">
        <f t="shared" si="16"/>
        <v/>
      </c>
    </row>
    <row r="209" spans="12:21" x14ac:dyDescent="0.25">
      <c r="L209" s="26">
        <v>206</v>
      </c>
      <c r="M209" t="s">
        <v>114</v>
      </c>
      <c r="N209" s="1" t="str">
        <f t="shared" si="14"/>
        <v/>
      </c>
      <c r="O209" s="31"/>
      <c r="P209" s="34" t="str">
        <f t="shared" si="15"/>
        <v/>
      </c>
      <c r="R209" t="s">
        <v>114</v>
      </c>
      <c r="S209" s="1" t="str">
        <f t="shared" si="13"/>
        <v/>
      </c>
      <c r="T209" s="1"/>
      <c r="U209" s="35" t="str">
        <f t="shared" si="16"/>
        <v/>
      </c>
    </row>
    <row r="210" spans="12:21" x14ac:dyDescent="0.25">
      <c r="L210" s="26">
        <v>207</v>
      </c>
      <c r="M210" t="s">
        <v>113</v>
      </c>
      <c r="N210" s="1" t="str">
        <f t="shared" si="14"/>
        <v/>
      </c>
      <c r="O210" s="31"/>
      <c r="P210" s="34" t="str">
        <f t="shared" si="15"/>
        <v/>
      </c>
      <c r="R210" t="s">
        <v>113</v>
      </c>
      <c r="S210" s="1" t="str">
        <f t="shared" si="13"/>
        <v/>
      </c>
      <c r="T210" s="1"/>
      <c r="U210" s="35" t="str">
        <f t="shared" si="16"/>
        <v/>
      </c>
    </row>
    <row r="211" spans="12:21" x14ac:dyDescent="0.25">
      <c r="L211" s="26">
        <v>208</v>
      </c>
      <c r="M211" t="s">
        <v>112</v>
      </c>
      <c r="N211" s="1" t="str">
        <f t="shared" si="14"/>
        <v/>
      </c>
      <c r="O211" s="31"/>
      <c r="P211" s="34" t="str">
        <f t="shared" si="15"/>
        <v/>
      </c>
      <c r="R211" t="s">
        <v>112</v>
      </c>
      <c r="S211" s="1" t="str">
        <f t="shared" si="13"/>
        <v/>
      </c>
      <c r="T211" s="1"/>
      <c r="U211" s="35" t="str">
        <f t="shared" si="16"/>
        <v/>
      </c>
    </row>
    <row r="212" spans="12:21" x14ac:dyDescent="0.25">
      <c r="L212" s="26">
        <v>209</v>
      </c>
      <c r="M212" t="s">
        <v>111</v>
      </c>
      <c r="N212" s="1" t="str">
        <f t="shared" si="14"/>
        <v/>
      </c>
      <c r="O212" s="31"/>
      <c r="P212" s="34" t="str">
        <f t="shared" si="15"/>
        <v/>
      </c>
      <c r="R212" t="s">
        <v>111</v>
      </c>
      <c r="S212" s="1" t="str">
        <f t="shared" si="13"/>
        <v/>
      </c>
      <c r="T212" s="1"/>
      <c r="U212" s="35" t="str">
        <f t="shared" si="16"/>
        <v/>
      </c>
    </row>
    <row r="213" spans="12:21" x14ac:dyDescent="0.25">
      <c r="L213" s="26">
        <v>210</v>
      </c>
      <c r="M213" t="s">
        <v>110</v>
      </c>
      <c r="N213" s="1" t="str">
        <f t="shared" si="14"/>
        <v/>
      </c>
      <c r="O213" s="31"/>
      <c r="P213" s="34" t="str">
        <f t="shared" si="15"/>
        <v/>
      </c>
      <c r="R213" t="s">
        <v>110</v>
      </c>
      <c r="S213" s="1" t="str">
        <f t="shared" si="13"/>
        <v/>
      </c>
      <c r="T213" s="1"/>
      <c r="U213" s="35" t="str">
        <f t="shared" si="16"/>
        <v/>
      </c>
    </row>
    <row r="214" spans="12:21" x14ac:dyDescent="0.25">
      <c r="L214" s="26">
        <v>211</v>
      </c>
      <c r="M214" t="s">
        <v>109</v>
      </c>
      <c r="N214" s="1" t="str">
        <f t="shared" si="14"/>
        <v/>
      </c>
      <c r="O214" s="31"/>
      <c r="P214" s="34" t="str">
        <f t="shared" si="15"/>
        <v/>
      </c>
      <c r="R214" t="s">
        <v>109</v>
      </c>
      <c r="S214" s="1" t="str">
        <f t="shared" si="13"/>
        <v/>
      </c>
      <c r="T214" s="1"/>
      <c r="U214" s="35" t="str">
        <f t="shared" si="16"/>
        <v/>
      </c>
    </row>
    <row r="215" spans="12:21" x14ac:dyDescent="0.25">
      <c r="L215" s="26">
        <v>212</v>
      </c>
      <c r="M215" t="s">
        <v>108</v>
      </c>
      <c r="N215" s="1" t="str">
        <f t="shared" si="14"/>
        <v/>
      </c>
      <c r="O215" s="31"/>
      <c r="P215" s="34" t="str">
        <f t="shared" si="15"/>
        <v/>
      </c>
      <c r="R215" t="s">
        <v>108</v>
      </c>
      <c r="S215" s="1" t="str">
        <f t="shared" si="13"/>
        <v/>
      </c>
      <c r="T215" s="1"/>
      <c r="U215" s="35" t="str">
        <f t="shared" si="16"/>
        <v/>
      </c>
    </row>
    <row r="216" spans="12:21" x14ac:dyDescent="0.25">
      <c r="L216" s="26">
        <v>213</v>
      </c>
      <c r="M216" t="s">
        <v>107</v>
      </c>
      <c r="N216" s="1" t="str">
        <f t="shared" si="14"/>
        <v/>
      </c>
      <c r="O216" s="31"/>
      <c r="P216" s="34" t="str">
        <f t="shared" si="15"/>
        <v/>
      </c>
      <c r="R216" t="s">
        <v>107</v>
      </c>
      <c r="S216" s="1" t="str">
        <f t="shared" ref="S216:S252" si="17">IF(L216&gt;$I$2,"",E216/$D$3-1)</f>
        <v/>
      </c>
      <c r="T216" s="1"/>
      <c r="U216" s="35" t="str">
        <f t="shared" si="16"/>
        <v/>
      </c>
    </row>
    <row r="217" spans="12:21" x14ac:dyDescent="0.25">
      <c r="L217" s="26">
        <v>214</v>
      </c>
      <c r="M217" t="s">
        <v>106</v>
      </c>
      <c r="N217" s="1" t="str">
        <f t="shared" si="14"/>
        <v/>
      </c>
      <c r="O217" s="31"/>
      <c r="P217" s="34" t="str">
        <f t="shared" si="15"/>
        <v/>
      </c>
      <c r="R217" t="s">
        <v>106</v>
      </c>
      <c r="S217" s="1" t="str">
        <f t="shared" si="17"/>
        <v/>
      </c>
      <c r="T217" s="1"/>
      <c r="U217" s="35" t="str">
        <f t="shared" si="16"/>
        <v/>
      </c>
    </row>
    <row r="218" spans="12:21" x14ac:dyDescent="0.25">
      <c r="L218" s="26">
        <v>215</v>
      </c>
      <c r="M218" t="s">
        <v>105</v>
      </c>
      <c r="N218" s="1" t="str">
        <f t="shared" si="14"/>
        <v/>
      </c>
      <c r="O218" s="31"/>
      <c r="P218" s="34" t="str">
        <f t="shared" si="15"/>
        <v/>
      </c>
      <c r="R218" t="s">
        <v>105</v>
      </c>
      <c r="S218" s="1" t="str">
        <f t="shared" si="17"/>
        <v/>
      </c>
      <c r="T218" s="1"/>
      <c r="U218" s="35" t="str">
        <f t="shared" si="16"/>
        <v/>
      </c>
    </row>
    <row r="219" spans="12:21" x14ac:dyDescent="0.25">
      <c r="L219" s="26">
        <v>216</v>
      </c>
      <c r="M219" t="s">
        <v>104</v>
      </c>
      <c r="N219" s="1" t="str">
        <f t="shared" si="14"/>
        <v/>
      </c>
      <c r="O219" s="31"/>
      <c r="P219" s="34" t="str">
        <f t="shared" si="15"/>
        <v/>
      </c>
      <c r="R219" t="s">
        <v>104</v>
      </c>
      <c r="S219" s="1" t="str">
        <f t="shared" si="17"/>
        <v/>
      </c>
      <c r="T219" s="1"/>
      <c r="U219" s="35" t="str">
        <f t="shared" si="16"/>
        <v/>
      </c>
    </row>
    <row r="220" spans="12:21" x14ac:dyDescent="0.25">
      <c r="L220" s="26">
        <v>217</v>
      </c>
      <c r="M220" t="s">
        <v>103</v>
      </c>
      <c r="N220" s="1" t="str">
        <f t="shared" si="14"/>
        <v/>
      </c>
      <c r="O220" s="31"/>
      <c r="P220" s="34" t="str">
        <f t="shared" si="15"/>
        <v/>
      </c>
      <c r="R220" t="s">
        <v>103</v>
      </c>
      <c r="S220" s="1" t="str">
        <f t="shared" si="17"/>
        <v/>
      </c>
      <c r="T220" s="1"/>
      <c r="U220" s="35" t="str">
        <f t="shared" si="16"/>
        <v/>
      </c>
    </row>
    <row r="221" spans="12:21" x14ac:dyDescent="0.25">
      <c r="L221" s="26">
        <v>218</v>
      </c>
      <c r="M221" t="s">
        <v>102</v>
      </c>
      <c r="N221" s="1" t="str">
        <f t="shared" si="14"/>
        <v/>
      </c>
      <c r="O221" s="31"/>
      <c r="P221" s="34" t="str">
        <f t="shared" si="15"/>
        <v/>
      </c>
      <c r="R221" t="s">
        <v>102</v>
      </c>
      <c r="S221" s="1" t="str">
        <f t="shared" si="17"/>
        <v/>
      </c>
      <c r="T221" s="1"/>
      <c r="U221" s="35" t="str">
        <f t="shared" si="16"/>
        <v/>
      </c>
    </row>
    <row r="222" spans="12:21" x14ac:dyDescent="0.25">
      <c r="L222" s="26">
        <v>219</v>
      </c>
      <c r="M222" t="s">
        <v>101</v>
      </c>
      <c r="N222" s="1" t="str">
        <f t="shared" si="14"/>
        <v/>
      </c>
      <c r="O222" s="31"/>
      <c r="P222" s="34" t="str">
        <f t="shared" si="15"/>
        <v/>
      </c>
      <c r="R222" t="s">
        <v>101</v>
      </c>
      <c r="S222" s="1" t="str">
        <f t="shared" si="17"/>
        <v/>
      </c>
      <c r="T222" s="1"/>
      <c r="U222" s="35" t="str">
        <f t="shared" si="16"/>
        <v/>
      </c>
    </row>
    <row r="223" spans="12:21" x14ac:dyDescent="0.25">
      <c r="L223" s="26">
        <v>220</v>
      </c>
      <c r="M223" t="s">
        <v>100</v>
      </c>
      <c r="N223" s="1" t="str">
        <f t="shared" si="14"/>
        <v/>
      </c>
      <c r="O223" s="31"/>
      <c r="P223" s="34" t="str">
        <f t="shared" si="15"/>
        <v/>
      </c>
      <c r="R223" t="s">
        <v>100</v>
      </c>
      <c r="S223" s="1" t="str">
        <f t="shared" si="17"/>
        <v/>
      </c>
      <c r="T223" s="1"/>
      <c r="U223" s="35" t="str">
        <f t="shared" si="16"/>
        <v/>
      </c>
    </row>
    <row r="224" spans="12:21" x14ac:dyDescent="0.25">
      <c r="L224" s="26">
        <v>221</v>
      </c>
      <c r="M224" t="s">
        <v>99</v>
      </c>
      <c r="N224" s="1" t="str">
        <f t="shared" si="14"/>
        <v/>
      </c>
      <c r="O224" s="31"/>
      <c r="P224" s="34" t="str">
        <f t="shared" si="15"/>
        <v/>
      </c>
      <c r="R224" t="s">
        <v>99</v>
      </c>
      <c r="S224" s="1" t="str">
        <f t="shared" si="17"/>
        <v/>
      </c>
      <c r="T224" s="1"/>
      <c r="U224" s="35" t="str">
        <f t="shared" si="16"/>
        <v/>
      </c>
    </row>
    <row r="225" spans="12:21" x14ac:dyDescent="0.25">
      <c r="L225" s="26">
        <v>222</v>
      </c>
      <c r="M225" t="s">
        <v>98</v>
      </c>
      <c r="N225" s="1" t="str">
        <f t="shared" si="14"/>
        <v/>
      </c>
      <c r="O225" s="31"/>
      <c r="P225" s="34" t="str">
        <f t="shared" si="15"/>
        <v/>
      </c>
      <c r="R225" t="s">
        <v>98</v>
      </c>
      <c r="S225" s="1" t="str">
        <f t="shared" si="17"/>
        <v/>
      </c>
      <c r="T225" s="1"/>
      <c r="U225" s="35" t="str">
        <f t="shared" si="16"/>
        <v/>
      </c>
    </row>
    <row r="226" spans="12:21" x14ac:dyDescent="0.25">
      <c r="L226" s="26">
        <v>223</v>
      </c>
      <c r="M226" t="s">
        <v>97</v>
      </c>
      <c r="N226" s="1" t="str">
        <f t="shared" si="14"/>
        <v/>
      </c>
      <c r="O226" s="31"/>
      <c r="P226" s="34" t="str">
        <f t="shared" si="15"/>
        <v/>
      </c>
      <c r="R226" t="s">
        <v>97</v>
      </c>
      <c r="S226" s="1" t="str">
        <f t="shared" si="17"/>
        <v/>
      </c>
      <c r="T226" s="1"/>
      <c r="U226" s="35" t="str">
        <f t="shared" si="16"/>
        <v/>
      </c>
    </row>
    <row r="227" spans="12:21" x14ac:dyDescent="0.25">
      <c r="L227" s="26">
        <v>224</v>
      </c>
      <c r="M227" t="s">
        <v>96</v>
      </c>
      <c r="N227" s="1" t="str">
        <f t="shared" si="14"/>
        <v/>
      </c>
      <c r="O227" s="31"/>
      <c r="P227" s="34" t="str">
        <f t="shared" si="15"/>
        <v/>
      </c>
      <c r="R227" t="s">
        <v>96</v>
      </c>
      <c r="S227" s="1" t="str">
        <f t="shared" si="17"/>
        <v/>
      </c>
      <c r="T227" s="1"/>
      <c r="U227" s="35" t="str">
        <f t="shared" si="16"/>
        <v/>
      </c>
    </row>
    <row r="228" spans="12:21" x14ac:dyDescent="0.25">
      <c r="L228" s="26">
        <v>225</v>
      </c>
      <c r="M228" t="s">
        <v>95</v>
      </c>
      <c r="N228" s="1" t="str">
        <f t="shared" si="14"/>
        <v/>
      </c>
      <c r="O228" s="31"/>
      <c r="P228" s="34" t="str">
        <f t="shared" si="15"/>
        <v/>
      </c>
      <c r="R228" t="s">
        <v>95</v>
      </c>
      <c r="S228" s="1" t="str">
        <f t="shared" si="17"/>
        <v/>
      </c>
      <c r="T228" s="1"/>
      <c r="U228" s="35" t="str">
        <f t="shared" si="16"/>
        <v/>
      </c>
    </row>
    <row r="229" spans="12:21" x14ac:dyDescent="0.25">
      <c r="L229" s="26">
        <v>226</v>
      </c>
      <c r="M229" t="s">
        <v>94</v>
      </c>
      <c r="N229" s="1" t="str">
        <f t="shared" si="14"/>
        <v/>
      </c>
      <c r="O229" s="31"/>
      <c r="P229" s="34" t="str">
        <f t="shared" si="15"/>
        <v/>
      </c>
      <c r="R229" t="s">
        <v>94</v>
      </c>
      <c r="S229" s="1" t="str">
        <f t="shared" si="17"/>
        <v/>
      </c>
      <c r="T229" s="1"/>
      <c r="U229" s="35" t="str">
        <f t="shared" si="16"/>
        <v/>
      </c>
    </row>
    <row r="230" spans="12:21" x14ac:dyDescent="0.25">
      <c r="L230" s="26">
        <v>227</v>
      </c>
      <c r="M230" t="s">
        <v>93</v>
      </c>
      <c r="N230" s="1" t="str">
        <f t="shared" si="14"/>
        <v/>
      </c>
      <c r="O230" s="31"/>
      <c r="P230" s="34" t="str">
        <f t="shared" si="15"/>
        <v/>
      </c>
      <c r="R230" t="s">
        <v>93</v>
      </c>
      <c r="S230" s="1" t="str">
        <f t="shared" si="17"/>
        <v/>
      </c>
      <c r="T230" s="1"/>
      <c r="U230" s="35" t="str">
        <f t="shared" si="16"/>
        <v/>
      </c>
    </row>
    <row r="231" spans="12:21" x14ac:dyDescent="0.25">
      <c r="L231" s="26">
        <v>228</v>
      </c>
      <c r="M231" t="s">
        <v>92</v>
      </c>
      <c r="N231" s="1" t="str">
        <f t="shared" si="14"/>
        <v/>
      </c>
      <c r="O231" s="31"/>
      <c r="P231" s="34" t="str">
        <f t="shared" si="15"/>
        <v/>
      </c>
      <c r="R231" t="s">
        <v>92</v>
      </c>
      <c r="S231" s="1" t="str">
        <f t="shared" si="17"/>
        <v/>
      </c>
      <c r="T231" s="1"/>
      <c r="U231" s="35" t="str">
        <f t="shared" si="16"/>
        <v/>
      </c>
    </row>
    <row r="232" spans="12:21" x14ac:dyDescent="0.25">
      <c r="L232" s="26">
        <v>229</v>
      </c>
      <c r="M232" t="s">
        <v>91</v>
      </c>
      <c r="N232" s="1" t="str">
        <f t="shared" si="14"/>
        <v/>
      </c>
      <c r="O232" s="31"/>
      <c r="P232" s="34" t="str">
        <f t="shared" si="15"/>
        <v/>
      </c>
      <c r="R232" t="s">
        <v>91</v>
      </c>
      <c r="S232" s="1" t="str">
        <f t="shared" si="17"/>
        <v/>
      </c>
      <c r="T232" s="1"/>
      <c r="U232" s="35" t="str">
        <f t="shared" si="16"/>
        <v/>
      </c>
    </row>
    <row r="233" spans="12:21" x14ac:dyDescent="0.25">
      <c r="L233" s="26">
        <v>230</v>
      </c>
      <c r="M233" t="s">
        <v>90</v>
      </c>
      <c r="N233" s="1" t="str">
        <f t="shared" si="14"/>
        <v/>
      </c>
      <c r="O233" s="31"/>
      <c r="P233" s="34" t="str">
        <f t="shared" si="15"/>
        <v/>
      </c>
      <c r="R233" t="s">
        <v>90</v>
      </c>
      <c r="S233" s="1" t="str">
        <f t="shared" si="17"/>
        <v/>
      </c>
      <c r="T233" s="1"/>
      <c r="U233" s="35" t="str">
        <f t="shared" si="16"/>
        <v/>
      </c>
    </row>
    <row r="234" spans="12:21" x14ac:dyDescent="0.25">
      <c r="L234" s="26">
        <v>231</v>
      </c>
      <c r="M234" t="s">
        <v>89</v>
      </c>
      <c r="N234" s="1" t="str">
        <f t="shared" si="14"/>
        <v/>
      </c>
      <c r="O234" s="31"/>
      <c r="P234" s="34" t="str">
        <f t="shared" si="15"/>
        <v/>
      </c>
      <c r="R234" t="s">
        <v>89</v>
      </c>
      <c r="S234" s="1" t="str">
        <f t="shared" si="17"/>
        <v/>
      </c>
      <c r="T234" s="1"/>
      <c r="U234" s="35" t="str">
        <f t="shared" si="16"/>
        <v/>
      </c>
    </row>
    <row r="235" spans="12:21" x14ac:dyDescent="0.25">
      <c r="L235" s="26">
        <v>232</v>
      </c>
      <c r="M235" t="s">
        <v>88</v>
      </c>
      <c r="N235" s="1" t="str">
        <f t="shared" si="14"/>
        <v/>
      </c>
      <c r="O235" s="31"/>
      <c r="P235" s="34" t="str">
        <f t="shared" si="15"/>
        <v/>
      </c>
      <c r="R235" t="s">
        <v>88</v>
      </c>
      <c r="S235" s="1" t="str">
        <f t="shared" si="17"/>
        <v/>
      </c>
      <c r="T235" s="1"/>
      <c r="U235" s="35" t="str">
        <f t="shared" si="16"/>
        <v/>
      </c>
    </row>
    <row r="236" spans="12:21" x14ac:dyDescent="0.25">
      <c r="L236" s="26">
        <v>233</v>
      </c>
      <c r="M236" t="s">
        <v>87</v>
      </c>
      <c r="N236" s="1" t="str">
        <f t="shared" si="14"/>
        <v/>
      </c>
      <c r="O236" s="31"/>
      <c r="P236" s="34" t="str">
        <f t="shared" si="15"/>
        <v/>
      </c>
      <c r="R236" t="s">
        <v>87</v>
      </c>
      <c r="S236" s="1" t="str">
        <f t="shared" si="17"/>
        <v/>
      </c>
      <c r="T236" s="1"/>
      <c r="U236" s="35" t="str">
        <f t="shared" si="16"/>
        <v/>
      </c>
    </row>
    <row r="237" spans="12:21" x14ac:dyDescent="0.25">
      <c r="L237" s="26">
        <v>234</v>
      </c>
      <c r="M237" t="s">
        <v>86</v>
      </c>
      <c r="N237" s="1" t="str">
        <f t="shared" si="14"/>
        <v/>
      </c>
      <c r="O237" s="31"/>
      <c r="P237" s="34" t="str">
        <f t="shared" si="15"/>
        <v/>
      </c>
      <c r="R237" t="s">
        <v>86</v>
      </c>
      <c r="S237" s="1" t="str">
        <f t="shared" si="17"/>
        <v/>
      </c>
      <c r="T237" s="1"/>
      <c r="U237" s="35" t="str">
        <f t="shared" si="16"/>
        <v/>
      </c>
    </row>
    <row r="238" spans="12:21" x14ac:dyDescent="0.25">
      <c r="L238" s="26">
        <v>235</v>
      </c>
      <c r="M238" t="s">
        <v>85</v>
      </c>
      <c r="N238" s="1" t="str">
        <f t="shared" si="14"/>
        <v/>
      </c>
      <c r="O238" s="31"/>
      <c r="P238" s="34" t="str">
        <f t="shared" si="15"/>
        <v/>
      </c>
      <c r="R238" t="s">
        <v>85</v>
      </c>
      <c r="S238" s="1" t="str">
        <f t="shared" si="17"/>
        <v/>
      </c>
      <c r="T238" s="1"/>
      <c r="U238" s="35" t="str">
        <f t="shared" si="16"/>
        <v/>
      </c>
    </row>
    <row r="239" spans="12:21" x14ac:dyDescent="0.25">
      <c r="L239" s="26">
        <v>236</v>
      </c>
      <c r="M239" t="s">
        <v>84</v>
      </c>
      <c r="N239" s="1" t="str">
        <f t="shared" si="14"/>
        <v/>
      </c>
      <c r="O239" s="31"/>
      <c r="P239" s="34" t="str">
        <f t="shared" si="15"/>
        <v/>
      </c>
      <c r="R239" t="s">
        <v>84</v>
      </c>
      <c r="S239" s="1" t="str">
        <f t="shared" si="17"/>
        <v/>
      </c>
      <c r="T239" s="1"/>
      <c r="U239" s="35" t="str">
        <f t="shared" si="16"/>
        <v/>
      </c>
    </row>
    <row r="240" spans="12:21" x14ac:dyDescent="0.25">
      <c r="L240" s="26">
        <v>237</v>
      </c>
      <c r="M240" t="s">
        <v>83</v>
      </c>
      <c r="N240" s="1" t="str">
        <f t="shared" si="14"/>
        <v/>
      </c>
      <c r="O240" s="31"/>
      <c r="P240" s="34" t="str">
        <f t="shared" si="15"/>
        <v/>
      </c>
      <c r="R240" t="s">
        <v>83</v>
      </c>
      <c r="S240" s="1" t="str">
        <f t="shared" si="17"/>
        <v/>
      </c>
      <c r="T240" s="1"/>
      <c r="U240" s="35" t="str">
        <f t="shared" si="16"/>
        <v/>
      </c>
    </row>
    <row r="241" spans="12:21" x14ac:dyDescent="0.25">
      <c r="L241" s="26">
        <v>238</v>
      </c>
      <c r="M241" t="s">
        <v>82</v>
      </c>
      <c r="N241" s="1" t="str">
        <f t="shared" si="14"/>
        <v/>
      </c>
      <c r="O241" s="31"/>
      <c r="P241" s="34" t="str">
        <f t="shared" si="15"/>
        <v/>
      </c>
      <c r="R241" t="s">
        <v>82</v>
      </c>
      <c r="S241" s="1" t="str">
        <f t="shared" si="17"/>
        <v/>
      </c>
      <c r="T241" s="1"/>
      <c r="U241" s="35" t="str">
        <f t="shared" si="16"/>
        <v/>
      </c>
    </row>
    <row r="242" spans="12:21" x14ac:dyDescent="0.25">
      <c r="L242" s="26">
        <v>239</v>
      </c>
      <c r="M242" t="s">
        <v>81</v>
      </c>
      <c r="N242" s="1" t="str">
        <f t="shared" si="14"/>
        <v/>
      </c>
      <c r="O242" s="31"/>
      <c r="P242" s="34" t="str">
        <f t="shared" si="15"/>
        <v/>
      </c>
      <c r="R242" t="s">
        <v>81</v>
      </c>
      <c r="S242" s="1" t="str">
        <f t="shared" si="17"/>
        <v/>
      </c>
      <c r="T242" s="1"/>
      <c r="U242" s="35" t="str">
        <f t="shared" si="16"/>
        <v/>
      </c>
    </row>
    <row r="243" spans="12:21" x14ac:dyDescent="0.25">
      <c r="L243" s="26">
        <v>240</v>
      </c>
      <c r="M243" t="s">
        <v>80</v>
      </c>
      <c r="N243" s="1" t="str">
        <f t="shared" si="14"/>
        <v/>
      </c>
      <c r="O243" s="31"/>
      <c r="P243" s="34" t="str">
        <f t="shared" si="15"/>
        <v/>
      </c>
      <c r="R243" t="s">
        <v>80</v>
      </c>
      <c r="S243" s="1" t="str">
        <f t="shared" si="17"/>
        <v/>
      </c>
      <c r="T243" s="1"/>
      <c r="U243" s="35" t="str">
        <f t="shared" si="16"/>
        <v/>
      </c>
    </row>
    <row r="244" spans="12:21" x14ac:dyDescent="0.25">
      <c r="L244" s="26">
        <v>241</v>
      </c>
      <c r="M244" t="s">
        <v>79</v>
      </c>
      <c r="N244" s="1" t="str">
        <f t="shared" si="14"/>
        <v/>
      </c>
      <c r="O244" s="31"/>
      <c r="P244" s="34" t="str">
        <f t="shared" si="15"/>
        <v/>
      </c>
      <c r="R244" t="s">
        <v>79</v>
      </c>
      <c r="S244" s="1" t="str">
        <f t="shared" si="17"/>
        <v/>
      </c>
      <c r="T244" s="1"/>
      <c r="U244" s="35" t="str">
        <f t="shared" si="16"/>
        <v/>
      </c>
    </row>
    <row r="245" spans="12:21" x14ac:dyDescent="0.25">
      <c r="L245" s="26">
        <v>242</v>
      </c>
      <c r="M245" t="s">
        <v>78</v>
      </c>
      <c r="N245" s="1" t="str">
        <f t="shared" si="14"/>
        <v/>
      </c>
      <c r="O245" s="31"/>
      <c r="P245" s="34" t="str">
        <f t="shared" si="15"/>
        <v/>
      </c>
      <c r="R245" t="s">
        <v>78</v>
      </c>
      <c r="S245" s="1" t="str">
        <f t="shared" si="17"/>
        <v/>
      </c>
      <c r="T245" s="1"/>
      <c r="U245" s="35" t="str">
        <f t="shared" si="16"/>
        <v/>
      </c>
    </row>
    <row r="246" spans="12:21" x14ac:dyDescent="0.25">
      <c r="L246" s="26">
        <v>243</v>
      </c>
      <c r="M246" t="s">
        <v>77</v>
      </c>
      <c r="N246" s="1" t="str">
        <f t="shared" si="14"/>
        <v/>
      </c>
      <c r="O246" s="31"/>
      <c r="P246" s="34" t="str">
        <f t="shared" si="15"/>
        <v/>
      </c>
      <c r="R246" t="s">
        <v>77</v>
      </c>
      <c r="S246" s="1" t="str">
        <f t="shared" si="17"/>
        <v/>
      </c>
      <c r="T246" s="1"/>
      <c r="U246" s="35" t="str">
        <f t="shared" si="16"/>
        <v/>
      </c>
    </row>
    <row r="247" spans="12:21" x14ac:dyDescent="0.25">
      <c r="L247" s="26">
        <v>244</v>
      </c>
      <c r="M247" t="s">
        <v>76</v>
      </c>
      <c r="N247" s="1" t="str">
        <f t="shared" si="14"/>
        <v/>
      </c>
      <c r="O247" s="31"/>
      <c r="P247" s="34" t="str">
        <f t="shared" si="15"/>
        <v/>
      </c>
      <c r="R247" t="s">
        <v>76</v>
      </c>
      <c r="S247" s="1" t="str">
        <f t="shared" si="17"/>
        <v/>
      </c>
      <c r="T247" s="1"/>
      <c r="U247" s="35" t="str">
        <f t="shared" si="16"/>
        <v/>
      </c>
    </row>
    <row r="248" spans="12:21" x14ac:dyDescent="0.25">
      <c r="L248" s="26">
        <v>245</v>
      </c>
      <c r="M248" t="s">
        <v>75</v>
      </c>
      <c r="N248" s="1" t="str">
        <f t="shared" si="14"/>
        <v/>
      </c>
      <c r="O248" s="31"/>
      <c r="P248" s="34" t="str">
        <f t="shared" si="15"/>
        <v/>
      </c>
      <c r="R248" t="s">
        <v>75</v>
      </c>
      <c r="S248" s="1" t="str">
        <f t="shared" si="17"/>
        <v/>
      </c>
      <c r="T248" s="1"/>
      <c r="U248" s="35" t="str">
        <f t="shared" si="16"/>
        <v/>
      </c>
    </row>
    <row r="249" spans="12:21" x14ac:dyDescent="0.25">
      <c r="L249" s="26">
        <v>246</v>
      </c>
      <c r="M249" t="s">
        <v>74</v>
      </c>
      <c r="N249" s="1" t="str">
        <f t="shared" si="14"/>
        <v/>
      </c>
      <c r="O249" s="31"/>
      <c r="P249" s="34" t="str">
        <f t="shared" si="15"/>
        <v/>
      </c>
      <c r="R249" t="s">
        <v>74</v>
      </c>
      <c r="S249" s="1" t="str">
        <f t="shared" si="17"/>
        <v/>
      </c>
      <c r="T249" s="1"/>
      <c r="U249" s="35" t="str">
        <f t="shared" si="16"/>
        <v/>
      </c>
    </row>
    <row r="250" spans="12:21" x14ac:dyDescent="0.25">
      <c r="L250" s="26">
        <v>247</v>
      </c>
      <c r="M250" t="s">
        <v>73</v>
      </c>
      <c r="N250" s="1" t="str">
        <f t="shared" si="14"/>
        <v/>
      </c>
      <c r="O250" s="31"/>
      <c r="P250" s="34" t="str">
        <f t="shared" si="15"/>
        <v/>
      </c>
      <c r="R250" t="s">
        <v>73</v>
      </c>
      <c r="S250" s="1" t="str">
        <f t="shared" si="17"/>
        <v/>
      </c>
      <c r="T250" s="1"/>
      <c r="U250" s="35" t="str">
        <f t="shared" si="16"/>
        <v/>
      </c>
    </row>
    <row r="251" spans="12:21" x14ac:dyDescent="0.25">
      <c r="L251" s="26">
        <v>248</v>
      </c>
      <c r="M251" t="s">
        <v>72</v>
      </c>
      <c r="N251" s="1" t="str">
        <f t="shared" si="14"/>
        <v/>
      </c>
      <c r="O251" s="31"/>
      <c r="P251" s="34" t="str">
        <f t="shared" si="15"/>
        <v/>
      </c>
      <c r="R251" t="s">
        <v>72</v>
      </c>
      <c r="S251" s="1" t="str">
        <f t="shared" si="17"/>
        <v/>
      </c>
      <c r="T251" s="1"/>
      <c r="U251" s="35" t="str">
        <f t="shared" si="16"/>
        <v/>
      </c>
    </row>
    <row r="252" spans="12:21" x14ac:dyDescent="0.25">
      <c r="L252" s="26">
        <v>249</v>
      </c>
      <c r="M252" t="s">
        <v>71</v>
      </c>
      <c r="N252" s="1" t="str">
        <f t="shared" si="14"/>
        <v/>
      </c>
      <c r="O252" s="31"/>
      <c r="P252" s="34" t="str">
        <f t="shared" si="15"/>
        <v/>
      </c>
      <c r="R252" t="s">
        <v>71</v>
      </c>
      <c r="S252" s="1" t="str">
        <f t="shared" si="17"/>
        <v/>
      </c>
      <c r="T252" s="1"/>
      <c r="U252" s="35" t="str">
        <f t="shared" si="16"/>
        <v/>
      </c>
    </row>
    <row r="253" spans="12:21" x14ac:dyDescent="0.25">
      <c r="L253" s="26">
        <v>250</v>
      </c>
      <c r="M253" t="s">
        <v>70</v>
      </c>
      <c r="N253" s="1" t="str">
        <f>IF(L253&gt;$I$2,"",F253/$D$3-1)</f>
        <v/>
      </c>
      <c r="O253" s="31"/>
      <c r="P253" s="34" t="str">
        <f t="shared" si="15"/>
        <v/>
      </c>
      <c r="R253" t="s">
        <v>70</v>
      </c>
      <c r="S253" s="1" t="str">
        <f>IF(L253&gt;$I$2,"",E253/$D$3-1)</f>
        <v/>
      </c>
      <c r="T253" s="1"/>
      <c r="U253" s="35" t="str">
        <f t="shared" si="16"/>
        <v/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8CC6F-A92E-42C5-94E4-0E6028ACB4A0}">
  <dimension ref="A1:U253"/>
  <sheetViews>
    <sheetView workbookViewId="0"/>
  </sheetViews>
  <sheetFormatPr defaultRowHeight="16.5" x14ac:dyDescent="0.25"/>
  <sheetData>
    <row r="1" spans="1:21" x14ac:dyDescent="0.25">
      <c r="A1" s="2" t="str">
        <f>"cmoneylookup|"&amp;B1&amp;回測表!A6&amp;C1&amp;回測表!B6&amp;D1&amp;回測表!C6&amp;E1</f>
        <v>cmoneylookup|&lt;&lt;LKQbXHjQyC$VmN7^hIU0FLBkWHRMfHRZ2BDwHUWcFQGVRF7Z8D73XRQndMUIkCEvVAEV{GRQBB9VOBog40GJyFjAhAkQBAGniJ93dD9RWE80gAQMTFlrHFAFN4V0r5X8HHBAHRQnvMUIkCFJT&gt;&gt;20060317&lt;&lt;21}JyAAAsUmVpIQjuMEsC&gt;&gt;20060403&lt;&lt;21}JyAAAsUmV7MQIfP$NZ2V7z&gt;&gt;8079&lt;&lt;21}Jy6}vxC8^XB{$Pn0eR{EP6bg6kl{iLqGHFcMH0tm{Pd^aejv7yqeRDkeyWswTMYw1BlD2IaGnJBkjI2UUR}fP8n{}liOCDqsuV9v}UL}8HGBnXFl8PqtLYv3bulwkgV$VmN8^7N{8bRjr2FnYc8fGlRQvdITQ7CCFWMmZJL9EpRQj8MWM$CCfnJlBA0RbBAT74WRE323h3ktQz&gt;&gt;</v>
      </c>
      <c r="B1" s="2" t="s">
        <v>64</v>
      </c>
      <c r="C1" s="2" t="s">
        <v>7</v>
      </c>
      <c r="D1" s="2" t="s">
        <v>8</v>
      </c>
      <c r="E1" s="2" t="s">
        <v>24</v>
      </c>
      <c r="F1" s="2"/>
    </row>
    <row r="2" spans="1:21" x14ac:dyDescent="0.25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6" t="s">
        <v>14</v>
      </c>
      <c r="H2" s="3" t="s">
        <v>28</v>
      </c>
      <c r="I2" s="28">
        <f>COUNTA(A:A)-3</f>
        <v>11</v>
      </c>
      <c r="M2" t="s">
        <v>294</v>
      </c>
      <c r="N2" s="30">
        <f>MIN($N$4:$N$4000)</f>
        <v>-4.0289256198347112E-2</v>
      </c>
      <c r="O2" s="37" t="s">
        <v>307</v>
      </c>
      <c r="P2" s="38">
        <v>1</v>
      </c>
      <c r="R2" t="s">
        <v>296</v>
      </c>
      <c r="S2" s="30">
        <f>MAX($S$4:$S$4000)</f>
        <v>0.1549586776859504</v>
      </c>
      <c r="T2" s="37" t="s">
        <v>298</v>
      </c>
      <c r="U2" s="25">
        <v>1</v>
      </c>
    </row>
    <row r="3" spans="1:21" x14ac:dyDescent="0.25">
      <c r="A3" s="26">
        <v>20060317</v>
      </c>
      <c r="B3" s="26">
        <v>8079</v>
      </c>
      <c r="C3" s="26" t="s">
        <v>319</v>
      </c>
      <c r="D3" s="26">
        <v>9.68</v>
      </c>
      <c r="E3" s="26">
        <v>9.85</v>
      </c>
      <c r="F3" s="26">
        <v>9.5500000000000007</v>
      </c>
      <c r="H3" s="3" t="s">
        <v>38</v>
      </c>
      <c r="I3" s="29">
        <f>IF($I$2&lt;5,"",D8/D3-1)</f>
        <v>-3.0991735537189924E-2</v>
      </c>
      <c r="M3" t="s">
        <v>293</v>
      </c>
      <c r="N3">
        <f>IF(ISERROR(INDEX($A$4:$A$4000,MATCH($N$2,$N$4:$N$4000,0))),"",INDEX($A$4:$A$4000,MATCH($N$2,$N$4:$N$4000,0)))</f>
        <v>20060324</v>
      </c>
      <c r="O3" t="s">
        <v>293</v>
      </c>
      <c r="P3" s="25" t="str">
        <f>IF(ISERROR(INDEX($A$4:$A$4000,MATCH($P$2,$P$4:$P$4000,0))),"",INDEX($A$4:$A$4000,MATCH($P$2,$P$4:$P$4000,0)))</f>
        <v/>
      </c>
      <c r="R3" t="s">
        <v>293</v>
      </c>
      <c r="S3">
        <f>IF(ISERROR(INDEX($A$4:$A$4000,MATCH($S$2,$S$4:$S$4000,0))),"",INDEX($A$4:$A$4000,MATCH($S$2,$S$4:$S$4000,0)))</f>
        <v>20060403</v>
      </c>
      <c r="T3" t="s">
        <v>293</v>
      </c>
      <c r="U3" s="25" t="str">
        <f>IF(ISERROR(INDEX($A$4:$A$4000,MATCH($U$2,$U$4:$U$4000,0))),"",INDEX($A$4:$A$4000,MATCH($U$2,$U$4:$U$4000,0)))</f>
        <v/>
      </c>
    </row>
    <row r="4" spans="1:21" x14ac:dyDescent="0.25">
      <c r="A4" s="26">
        <v>20060320</v>
      </c>
      <c r="B4" s="26">
        <v>8079</v>
      </c>
      <c r="C4" s="26" t="s">
        <v>319</v>
      </c>
      <c r="D4" s="26">
        <v>10.35</v>
      </c>
      <c r="E4" s="26">
        <v>10.35</v>
      </c>
      <c r="F4" s="26">
        <v>9.8000000000000007</v>
      </c>
      <c r="H4" s="3" t="s">
        <v>29</v>
      </c>
      <c r="I4" s="29">
        <f>IF($I$2&lt;10,"",D13/D3-1)</f>
        <v>8.8842975206611552E-2</v>
      </c>
      <c r="K4" t="s">
        <v>65</v>
      </c>
      <c r="L4" s="26">
        <v>1</v>
      </c>
      <c r="M4" t="s">
        <v>39</v>
      </c>
      <c r="N4" s="1">
        <f>IF(L4&gt;$I$2,"",F4/$D$3-1)</f>
        <v>1.2396694214876103E-2</v>
      </c>
      <c r="O4" s="31"/>
      <c r="P4" s="34" t="str">
        <f>IF(AND(L4&lt;=$I$2,N4&lt;= -0.1),1,"")</f>
        <v/>
      </c>
      <c r="Q4" t="s">
        <v>295</v>
      </c>
      <c r="R4" t="s">
        <v>39</v>
      </c>
      <c r="S4" s="1">
        <f>IF(L4&gt;$I$2,"",E4/$D$3-1)</f>
        <v>6.9214876033057759E-2</v>
      </c>
      <c r="T4" s="1"/>
      <c r="U4" s="35" t="str">
        <f>IF(AND(L4&lt;=$I$2,S4&gt;=0.2),1,"")</f>
        <v/>
      </c>
    </row>
    <row r="5" spans="1:21" x14ac:dyDescent="0.25">
      <c r="A5" s="26">
        <v>20060321</v>
      </c>
      <c r="B5" s="26">
        <v>8079</v>
      </c>
      <c r="C5" s="26" t="s">
        <v>319</v>
      </c>
      <c r="D5" s="26">
        <v>9.85</v>
      </c>
      <c r="E5" s="26">
        <v>10.38</v>
      </c>
      <c r="F5" s="26">
        <v>9.85</v>
      </c>
      <c r="H5" s="3" t="s">
        <v>31</v>
      </c>
      <c r="I5" s="29" t="str">
        <f>IF($I$2&lt;20,"",D23/D3-1)</f>
        <v/>
      </c>
      <c r="L5" s="26">
        <v>2</v>
      </c>
      <c r="M5" t="s">
        <v>40</v>
      </c>
      <c r="N5" s="1">
        <f t="shared" ref="N5:N68" si="0">IF(L5&gt;$I$2,"",F5/$D$3-1)</f>
        <v>1.7561983471074294E-2</v>
      </c>
      <c r="O5" s="31"/>
      <c r="P5" s="34" t="str">
        <f t="shared" ref="P5:P68" si="1">IF(AND(L5&lt;=$I$2,N5&lt;= -0.1),1,"")</f>
        <v/>
      </c>
      <c r="R5" t="s">
        <v>40</v>
      </c>
      <c r="S5" s="1">
        <f>IF(L5&gt;$I$2,"",E5/$D$3-1)</f>
        <v>7.2314049586776896E-2</v>
      </c>
      <c r="T5" s="1"/>
      <c r="U5" s="35" t="str">
        <f t="shared" ref="U5:U68" si="2">IF(AND(L5&lt;=$I$2,S5&gt;=0.2),1,"")</f>
        <v/>
      </c>
    </row>
    <row r="6" spans="1:21" x14ac:dyDescent="0.25">
      <c r="A6" s="26">
        <v>20060322</v>
      </c>
      <c r="B6" s="26">
        <v>8079</v>
      </c>
      <c r="C6" s="26" t="s">
        <v>319</v>
      </c>
      <c r="D6" s="26">
        <v>9.89</v>
      </c>
      <c r="E6" s="26">
        <v>10.08</v>
      </c>
      <c r="F6" s="26">
        <v>9.5500000000000007</v>
      </c>
      <c r="L6" s="26">
        <v>3</v>
      </c>
      <c r="M6" t="s">
        <v>41</v>
      </c>
      <c r="N6" s="1">
        <f t="shared" si="0"/>
        <v>-1.342975206611563E-2</v>
      </c>
      <c r="O6" s="31"/>
      <c r="P6" s="34" t="str">
        <f t="shared" si="1"/>
        <v/>
      </c>
      <c r="R6" t="s">
        <v>41</v>
      </c>
      <c r="S6" s="1">
        <f>IF(L6&gt;$I$2,"",E6/$D$3-1)</f>
        <v>4.1322314049586861E-2</v>
      </c>
      <c r="T6" s="1"/>
      <c r="U6" s="35" t="str">
        <f t="shared" si="2"/>
        <v/>
      </c>
    </row>
    <row r="7" spans="1:21" x14ac:dyDescent="0.25">
      <c r="A7" s="26">
        <v>20060323</v>
      </c>
      <c r="B7" s="26">
        <v>8079</v>
      </c>
      <c r="C7" s="26" t="s">
        <v>319</v>
      </c>
      <c r="D7" s="26">
        <v>9.59</v>
      </c>
      <c r="E7" s="26">
        <v>10.1</v>
      </c>
      <c r="F7" s="26">
        <v>9.49</v>
      </c>
      <c r="L7" s="26">
        <v>4</v>
      </c>
      <c r="M7" t="s">
        <v>42</v>
      </c>
      <c r="N7" s="1">
        <f t="shared" si="0"/>
        <v>-1.9628099173553681E-2</v>
      </c>
      <c r="O7" s="31"/>
      <c r="P7" s="34" t="str">
        <f t="shared" si="1"/>
        <v/>
      </c>
      <c r="R7" t="s">
        <v>42</v>
      </c>
      <c r="S7" s="1">
        <f t="shared" ref="S7:S11" si="3">IF(L7&gt;$I$2,"",E7/$D$3-1)</f>
        <v>4.3388429752066138E-2</v>
      </c>
      <c r="T7" s="1"/>
      <c r="U7" s="35" t="str">
        <f t="shared" si="2"/>
        <v/>
      </c>
    </row>
    <row r="8" spans="1:21" x14ac:dyDescent="0.25">
      <c r="A8" s="26">
        <v>20060324</v>
      </c>
      <c r="B8" s="26">
        <v>8079</v>
      </c>
      <c r="C8" s="26" t="s">
        <v>319</v>
      </c>
      <c r="D8" s="26">
        <v>9.3800000000000008</v>
      </c>
      <c r="E8" s="26">
        <v>9.6999999999999993</v>
      </c>
      <c r="F8" s="26">
        <v>9.2899999999999991</v>
      </c>
      <c r="L8" s="26">
        <v>5</v>
      </c>
      <c r="M8" t="s">
        <v>37</v>
      </c>
      <c r="N8" s="1">
        <f t="shared" si="0"/>
        <v>-4.0289256198347112E-2</v>
      </c>
      <c r="O8" s="31"/>
      <c r="P8" s="34" t="str">
        <f t="shared" si="1"/>
        <v/>
      </c>
      <c r="R8" t="s">
        <v>37</v>
      </c>
      <c r="S8" s="1">
        <f t="shared" si="3"/>
        <v>2.0661157024792765E-3</v>
      </c>
      <c r="T8" s="1"/>
      <c r="U8" s="35" t="str">
        <f t="shared" si="2"/>
        <v/>
      </c>
    </row>
    <row r="9" spans="1:21" x14ac:dyDescent="0.25">
      <c r="A9" s="26">
        <v>20060327</v>
      </c>
      <c r="B9" s="26">
        <v>8079</v>
      </c>
      <c r="C9" s="26" t="s">
        <v>319</v>
      </c>
      <c r="D9" s="26">
        <v>9.57</v>
      </c>
      <c r="E9" s="26">
        <v>9.65</v>
      </c>
      <c r="F9" s="26">
        <v>9.32</v>
      </c>
      <c r="L9" s="26">
        <v>6</v>
      </c>
      <c r="M9" t="s">
        <v>43</v>
      </c>
      <c r="N9" s="1">
        <f t="shared" si="0"/>
        <v>-3.7190082644628086E-2</v>
      </c>
      <c r="O9" s="31"/>
      <c r="P9" s="34" t="str">
        <f t="shared" si="1"/>
        <v/>
      </c>
      <c r="R9" t="s">
        <v>43</v>
      </c>
      <c r="S9" s="1">
        <f t="shared" si="3"/>
        <v>-3.0991735537189147E-3</v>
      </c>
      <c r="T9" s="1"/>
      <c r="U9" s="35" t="str">
        <f t="shared" si="2"/>
        <v/>
      </c>
    </row>
    <row r="10" spans="1:21" x14ac:dyDescent="0.25">
      <c r="A10" s="26">
        <v>20060328</v>
      </c>
      <c r="B10" s="26">
        <v>8079</v>
      </c>
      <c r="C10" s="26" t="s">
        <v>319</v>
      </c>
      <c r="D10" s="26">
        <v>9.9499999999999993</v>
      </c>
      <c r="E10" s="26">
        <v>9.99</v>
      </c>
      <c r="F10" s="26">
        <v>9.51</v>
      </c>
      <c r="L10" s="26">
        <v>7</v>
      </c>
      <c r="M10" t="s">
        <v>44</v>
      </c>
      <c r="N10" s="1">
        <f t="shared" si="0"/>
        <v>-1.7561983471074405E-2</v>
      </c>
      <c r="O10" s="31"/>
      <c r="P10" s="34" t="str">
        <f t="shared" si="1"/>
        <v/>
      </c>
      <c r="R10" t="s">
        <v>44</v>
      </c>
      <c r="S10" s="1">
        <f t="shared" si="3"/>
        <v>3.2024793388429895E-2</v>
      </c>
      <c r="T10" s="1"/>
      <c r="U10" s="35" t="str">
        <f t="shared" si="2"/>
        <v/>
      </c>
    </row>
    <row r="11" spans="1:21" x14ac:dyDescent="0.25">
      <c r="A11" s="26">
        <v>20060329</v>
      </c>
      <c r="B11" s="26">
        <v>8079</v>
      </c>
      <c r="C11" s="26" t="s">
        <v>319</v>
      </c>
      <c r="D11" s="26">
        <v>9.89</v>
      </c>
      <c r="E11" s="26">
        <v>10.14</v>
      </c>
      <c r="F11" s="26">
        <v>9.85</v>
      </c>
      <c r="L11" s="26">
        <v>8</v>
      </c>
      <c r="M11" t="s">
        <v>45</v>
      </c>
      <c r="N11" s="1">
        <f t="shared" si="0"/>
        <v>1.7561983471074294E-2</v>
      </c>
      <c r="O11" s="31"/>
      <c r="P11" s="34" t="str">
        <f t="shared" si="1"/>
        <v/>
      </c>
      <c r="R11" t="s">
        <v>45</v>
      </c>
      <c r="S11" s="1">
        <f t="shared" si="3"/>
        <v>4.7520661157024913E-2</v>
      </c>
      <c r="T11" s="1"/>
      <c r="U11" s="35" t="str">
        <f t="shared" si="2"/>
        <v/>
      </c>
    </row>
    <row r="12" spans="1:21" x14ac:dyDescent="0.25">
      <c r="A12" s="26">
        <v>20060330</v>
      </c>
      <c r="B12" s="26">
        <v>8079</v>
      </c>
      <c r="C12" s="26" t="s">
        <v>319</v>
      </c>
      <c r="D12" s="26">
        <v>10.57</v>
      </c>
      <c r="E12" s="26">
        <v>10.57</v>
      </c>
      <c r="F12" s="26">
        <v>10.039999999999999</v>
      </c>
      <c r="L12" s="26">
        <v>9</v>
      </c>
      <c r="M12" t="s">
        <v>46</v>
      </c>
      <c r="N12" s="1">
        <f>IF(L12&gt;$I$2,"",F12/$D$3-1)</f>
        <v>3.7190082644628086E-2</v>
      </c>
      <c r="O12" s="31"/>
      <c r="P12" s="34" t="str">
        <f t="shared" si="1"/>
        <v/>
      </c>
      <c r="R12" t="s">
        <v>46</v>
      </c>
      <c r="S12" s="1">
        <f>IF(L12&gt;$I$2,"",E12/$D$3-1)</f>
        <v>9.1942148760330689E-2</v>
      </c>
      <c r="T12" s="1"/>
      <c r="U12" s="35" t="str">
        <f t="shared" si="2"/>
        <v/>
      </c>
    </row>
    <row r="13" spans="1:21" x14ac:dyDescent="0.25">
      <c r="A13" s="26">
        <v>20060331</v>
      </c>
      <c r="B13" s="26">
        <v>8079</v>
      </c>
      <c r="C13" s="26" t="s">
        <v>319</v>
      </c>
      <c r="D13" s="26">
        <v>10.54</v>
      </c>
      <c r="E13" s="26">
        <v>10.73</v>
      </c>
      <c r="F13" s="26">
        <v>10.119999999999999</v>
      </c>
      <c r="L13" s="26">
        <v>10</v>
      </c>
      <c r="M13" t="s">
        <v>47</v>
      </c>
      <c r="N13" s="1">
        <f t="shared" si="0"/>
        <v>4.5454545454545414E-2</v>
      </c>
      <c r="O13" s="31"/>
      <c r="P13" s="34" t="str">
        <f t="shared" si="1"/>
        <v/>
      </c>
      <c r="R13" t="s">
        <v>47</v>
      </c>
      <c r="S13" s="1">
        <f>IF(L13&gt;$I$2,"",E13/$D$3-1)</f>
        <v>0.10847107438016534</v>
      </c>
      <c r="T13" s="1"/>
      <c r="U13" s="35" t="str">
        <f t="shared" si="2"/>
        <v/>
      </c>
    </row>
    <row r="14" spans="1:21" x14ac:dyDescent="0.25">
      <c r="A14" s="26">
        <v>20060403</v>
      </c>
      <c r="B14" s="26">
        <v>8079</v>
      </c>
      <c r="C14" s="26" t="s">
        <v>319</v>
      </c>
      <c r="D14" s="26">
        <v>10.9</v>
      </c>
      <c r="E14" s="26">
        <v>11.18</v>
      </c>
      <c r="F14" s="26">
        <v>10.78</v>
      </c>
      <c r="L14" s="26">
        <v>11</v>
      </c>
      <c r="M14" t="s">
        <v>48</v>
      </c>
      <c r="N14" s="1">
        <f t="shared" si="0"/>
        <v>0.11363636363636354</v>
      </c>
      <c r="O14" s="31"/>
      <c r="P14" s="34" t="str">
        <f t="shared" si="1"/>
        <v/>
      </c>
      <c r="R14" t="s">
        <v>48</v>
      </c>
      <c r="S14" s="1">
        <f>IF(L14&gt;$I$2,"",E14/$D$3-1)</f>
        <v>0.1549586776859504</v>
      </c>
      <c r="T14" s="1"/>
      <c r="U14" s="35" t="str">
        <f t="shared" si="2"/>
        <v/>
      </c>
    </row>
    <row r="15" spans="1:21" x14ac:dyDescent="0.25">
      <c r="A15" s="26"/>
      <c r="B15" s="26"/>
      <c r="C15" s="26"/>
      <c r="D15" s="26"/>
      <c r="E15" s="26"/>
      <c r="F15" s="26"/>
      <c r="L15" s="26">
        <v>12</v>
      </c>
      <c r="M15" t="s">
        <v>49</v>
      </c>
      <c r="N15" s="1" t="str">
        <f t="shared" si="0"/>
        <v/>
      </c>
      <c r="O15" s="31"/>
      <c r="P15" s="34" t="str">
        <f t="shared" si="1"/>
        <v/>
      </c>
      <c r="R15" t="s">
        <v>49</v>
      </c>
      <c r="S15" s="1" t="str">
        <f t="shared" ref="S15:S18" si="4">IF(L15&gt;$I$2,"",E15/$D$3-1)</f>
        <v/>
      </c>
      <c r="T15" s="1"/>
      <c r="U15" s="35" t="str">
        <f t="shared" si="2"/>
        <v/>
      </c>
    </row>
    <row r="16" spans="1:21" x14ac:dyDescent="0.25">
      <c r="A16" s="26"/>
      <c r="B16" s="26"/>
      <c r="C16" s="26"/>
      <c r="D16" s="26"/>
      <c r="E16" s="26"/>
      <c r="F16" s="26"/>
      <c r="L16" s="26">
        <v>13</v>
      </c>
      <c r="M16" t="s">
        <v>50</v>
      </c>
      <c r="N16" s="1" t="str">
        <f t="shared" si="0"/>
        <v/>
      </c>
      <c r="O16" s="31"/>
      <c r="P16" s="34" t="str">
        <f t="shared" si="1"/>
        <v/>
      </c>
      <c r="R16" t="s">
        <v>50</v>
      </c>
      <c r="S16" s="1" t="str">
        <f t="shared" si="4"/>
        <v/>
      </c>
      <c r="T16" s="1"/>
      <c r="U16" s="35" t="str">
        <f t="shared" si="2"/>
        <v/>
      </c>
    </row>
    <row r="17" spans="1:21" x14ac:dyDescent="0.25">
      <c r="A17" s="26"/>
      <c r="B17" s="26"/>
      <c r="C17" s="26"/>
      <c r="D17" s="26"/>
      <c r="E17" s="26"/>
      <c r="F17" s="26"/>
      <c r="L17" s="26">
        <v>14</v>
      </c>
      <c r="M17" t="s">
        <v>51</v>
      </c>
      <c r="N17" s="1" t="str">
        <f t="shared" si="0"/>
        <v/>
      </c>
      <c r="O17" s="31"/>
      <c r="P17" s="34" t="str">
        <f t="shared" si="1"/>
        <v/>
      </c>
      <c r="R17" t="s">
        <v>51</v>
      </c>
      <c r="S17" s="1" t="str">
        <f t="shared" si="4"/>
        <v/>
      </c>
      <c r="T17" s="1"/>
      <c r="U17" s="35" t="str">
        <f t="shared" si="2"/>
        <v/>
      </c>
    </row>
    <row r="18" spans="1:21" x14ac:dyDescent="0.25">
      <c r="A18" s="26"/>
      <c r="B18" s="26"/>
      <c r="C18" s="26"/>
      <c r="D18" s="26"/>
      <c r="E18" s="26"/>
      <c r="F18" s="26"/>
      <c r="L18" s="26">
        <v>15</v>
      </c>
      <c r="M18" t="s">
        <v>52</v>
      </c>
      <c r="N18" s="1" t="str">
        <f t="shared" si="0"/>
        <v/>
      </c>
      <c r="O18" s="31"/>
      <c r="P18" s="34" t="str">
        <f t="shared" si="1"/>
        <v/>
      </c>
      <c r="R18" t="s">
        <v>52</v>
      </c>
      <c r="S18" s="1" t="str">
        <f t="shared" si="4"/>
        <v/>
      </c>
      <c r="T18" s="1"/>
      <c r="U18" s="35" t="str">
        <f t="shared" si="2"/>
        <v/>
      </c>
    </row>
    <row r="19" spans="1:21" x14ac:dyDescent="0.25">
      <c r="A19" s="26"/>
      <c r="B19" s="26"/>
      <c r="C19" s="26"/>
      <c r="D19" s="26"/>
      <c r="E19" s="26"/>
      <c r="F19" s="26"/>
      <c r="L19" s="26">
        <v>16</v>
      </c>
      <c r="M19" t="s">
        <v>53</v>
      </c>
      <c r="N19" s="1" t="str">
        <f t="shared" si="0"/>
        <v/>
      </c>
      <c r="O19" s="31"/>
      <c r="P19" s="34" t="str">
        <f t="shared" si="1"/>
        <v/>
      </c>
      <c r="R19" t="s">
        <v>53</v>
      </c>
      <c r="S19" s="1" t="str">
        <f>IF(L19&gt;$I$2,"",E19/$D$3-1)</f>
        <v/>
      </c>
      <c r="T19" s="1"/>
      <c r="U19" s="35" t="str">
        <f t="shared" si="2"/>
        <v/>
      </c>
    </row>
    <row r="20" spans="1:21" x14ac:dyDescent="0.25">
      <c r="A20" s="26"/>
      <c r="B20" s="26"/>
      <c r="C20" s="26"/>
      <c r="D20" s="26"/>
      <c r="E20" s="26"/>
      <c r="F20" s="26"/>
      <c r="L20" s="26">
        <v>17</v>
      </c>
      <c r="M20" t="s">
        <v>54</v>
      </c>
      <c r="N20" s="1" t="str">
        <f t="shared" si="0"/>
        <v/>
      </c>
      <c r="O20" s="31"/>
      <c r="P20" s="34" t="str">
        <f t="shared" si="1"/>
        <v/>
      </c>
      <c r="R20" t="s">
        <v>54</v>
      </c>
      <c r="S20" s="1" t="str">
        <f>IF(L20&gt;$I$2,"",E20/$D$3-1)</f>
        <v/>
      </c>
      <c r="T20" s="1"/>
      <c r="U20" s="35" t="str">
        <f t="shared" si="2"/>
        <v/>
      </c>
    </row>
    <row r="21" spans="1:21" x14ac:dyDescent="0.25">
      <c r="A21" s="26"/>
      <c r="B21" s="26"/>
      <c r="C21" s="26"/>
      <c r="D21" s="26"/>
      <c r="E21" s="26"/>
      <c r="F21" s="26"/>
      <c r="L21" s="26">
        <v>18</v>
      </c>
      <c r="M21" t="s">
        <v>55</v>
      </c>
      <c r="N21" s="1" t="str">
        <f t="shared" si="0"/>
        <v/>
      </c>
      <c r="O21" s="31"/>
      <c r="P21" s="34" t="str">
        <f t="shared" si="1"/>
        <v/>
      </c>
      <c r="R21" t="s">
        <v>55</v>
      </c>
      <c r="S21" s="1" t="str">
        <f>IF(L21&gt;$I$2,"",E21/$D$3-1)</f>
        <v/>
      </c>
      <c r="T21" s="1"/>
      <c r="U21" s="35" t="str">
        <f t="shared" si="2"/>
        <v/>
      </c>
    </row>
    <row r="22" spans="1:21" x14ac:dyDescent="0.25">
      <c r="A22" s="26"/>
      <c r="B22" s="26"/>
      <c r="C22" s="26"/>
      <c r="D22" s="26"/>
      <c r="E22" s="26"/>
      <c r="F22" s="26"/>
      <c r="L22" s="26">
        <v>19</v>
      </c>
      <c r="M22" t="s">
        <v>56</v>
      </c>
      <c r="N22" s="1" t="str">
        <f t="shared" si="0"/>
        <v/>
      </c>
      <c r="O22" s="31"/>
      <c r="P22" s="34" t="str">
        <f t="shared" si="1"/>
        <v/>
      </c>
      <c r="R22" t="s">
        <v>56</v>
      </c>
      <c r="S22" s="1" t="str">
        <f>IF(L22&gt;$I$2,"",E22/$D$3-1)</f>
        <v/>
      </c>
      <c r="T22" s="1"/>
      <c r="U22" s="35" t="str">
        <f t="shared" si="2"/>
        <v/>
      </c>
    </row>
    <row r="23" spans="1:21" x14ac:dyDescent="0.25">
      <c r="A23" s="26"/>
      <c r="B23" s="26"/>
      <c r="C23" s="26"/>
      <c r="D23" s="26"/>
      <c r="E23" s="26"/>
      <c r="F23" s="26"/>
      <c r="L23" s="26">
        <v>20</v>
      </c>
      <c r="M23" t="s">
        <v>57</v>
      </c>
      <c r="N23" s="1" t="str">
        <f t="shared" si="0"/>
        <v/>
      </c>
      <c r="O23" s="31"/>
      <c r="P23" s="34" t="str">
        <f t="shared" si="1"/>
        <v/>
      </c>
      <c r="R23" t="s">
        <v>57</v>
      </c>
      <c r="S23" s="1" t="str">
        <f>IF(L23&gt;$I$2,"",E23/$D$3-1)</f>
        <v/>
      </c>
      <c r="T23" s="1"/>
      <c r="U23" s="35" t="str">
        <f t="shared" si="2"/>
        <v/>
      </c>
    </row>
    <row r="24" spans="1:21" x14ac:dyDescent="0.25">
      <c r="A24" s="26"/>
      <c r="B24" s="26"/>
      <c r="C24" s="26"/>
      <c r="D24" s="26"/>
      <c r="E24" s="26"/>
      <c r="F24" s="26"/>
      <c r="L24" s="26">
        <v>21</v>
      </c>
      <c r="M24" t="s">
        <v>58</v>
      </c>
      <c r="N24" s="1" t="str">
        <f t="shared" si="0"/>
        <v/>
      </c>
      <c r="O24" s="31"/>
      <c r="P24" s="34" t="str">
        <f t="shared" si="1"/>
        <v/>
      </c>
      <c r="R24" t="s">
        <v>58</v>
      </c>
      <c r="S24" s="1" t="str">
        <f t="shared" ref="S24:S87" si="5">IF(L24&gt;$I$2,"",E24/$D$3-1)</f>
        <v/>
      </c>
      <c r="T24" s="1"/>
      <c r="U24" s="35" t="str">
        <f t="shared" si="2"/>
        <v/>
      </c>
    </row>
    <row r="25" spans="1:21" x14ac:dyDescent="0.25">
      <c r="A25" s="26"/>
      <c r="B25" s="26"/>
      <c r="C25" s="26"/>
      <c r="D25" s="26"/>
      <c r="E25" s="26"/>
      <c r="F25" s="26"/>
      <c r="L25" s="26">
        <v>22</v>
      </c>
      <c r="M25" t="s">
        <v>59</v>
      </c>
      <c r="N25" s="1" t="str">
        <f t="shared" si="0"/>
        <v/>
      </c>
      <c r="O25" s="31"/>
      <c r="P25" s="34" t="str">
        <f t="shared" si="1"/>
        <v/>
      </c>
      <c r="R25" t="s">
        <v>59</v>
      </c>
      <c r="S25" s="1" t="str">
        <f t="shared" si="5"/>
        <v/>
      </c>
      <c r="T25" s="1"/>
      <c r="U25" s="35" t="str">
        <f t="shared" si="2"/>
        <v/>
      </c>
    </row>
    <row r="26" spans="1:21" x14ac:dyDescent="0.25">
      <c r="A26" s="26"/>
      <c r="B26" s="26"/>
      <c r="C26" s="26"/>
      <c r="D26" s="26"/>
      <c r="E26" s="26"/>
      <c r="F26" s="26"/>
      <c r="L26" s="26">
        <v>23</v>
      </c>
      <c r="M26" t="s">
        <v>60</v>
      </c>
      <c r="N26" s="1" t="str">
        <f t="shared" si="0"/>
        <v/>
      </c>
      <c r="O26" s="31"/>
      <c r="P26" s="34" t="str">
        <f t="shared" si="1"/>
        <v/>
      </c>
      <c r="R26" t="s">
        <v>60</v>
      </c>
      <c r="S26" s="1" t="str">
        <f t="shared" si="5"/>
        <v/>
      </c>
      <c r="T26" s="1"/>
      <c r="U26" s="35" t="str">
        <f t="shared" si="2"/>
        <v/>
      </c>
    </row>
    <row r="27" spans="1:21" x14ac:dyDescent="0.25">
      <c r="A27" s="16"/>
      <c r="B27" s="16"/>
      <c r="C27" s="16"/>
      <c r="D27" s="16"/>
      <c r="E27" s="16"/>
      <c r="F27" s="16"/>
      <c r="G27" s="9"/>
      <c r="H27" s="9"/>
      <c r="I27" s="9"/>
      <c r="J27" s="9"/>
      <c r="K27" s="9"/>
      <c r="L27" s="16">
        <v>24</v>
      </c>
      <c r="M27" s="9" t="s">
        <v>66</v>
      </c>
      <c r="N27" s="33" t="str">
        <f t="shared" si="0"/>
        <v/>
      </c>
      <c r="O27" s="32"/>
      <c r="P27" s="34" t="str">
        <f t="shared" si="1"/>
        <v/>
      </c>
      <c r="Q27" s="9"/>
      <c r="R27" s="9" t="s">
        <v>61</v>
      </c>
      <c r="S27" s="33" t="str">
        <f t="shared" si="5"/>
        <v/>
      </c>
      <c r="T27" s="33"/>
      <c r="U27" s="35" t="str">
        <f t="shared" si="2"/>
        <v/>
      </c>
    </row>
    <row r="28" spans="1:21" x14ac:dyDescent="0.25">
      <c r="A28" s="26"/>
      <c r="B28" s="26"/>
      <c r="C28" s="26"/>
      <c r="D28" s="26"/>
      <c r="E28" s="26"/>
      <c r="F28" s="26"/>
      <c r="L28" s="26">
        <v>25</v>
      </c>
      <c r="M28" t="s">
        <v>67</v>
      </c>
      <c r="N28" s="1" t="str">
        <f t="shared" si="0"/>
        <v/>
      </c>
      <c r="O28" s="31"/>
      <c r="P28" s="34" t="str">
        <f t="shared" si="1"/>
        <v/>
      </c>
      <c r="R28" t="s">
        <v>67</v>
      </c>
      <c r="S28" s="1" t="str">
        <f>IF(L28&gt;$I$2,"",E28/$D$3-1)</f>
        <v/>
      </c>
      <c r="T28" s="1"/>
      <c r="U28" s="35" t="str">
        <f t="shared" si="2"/>
        <v/>
      </c>
    </row>
    <row r="29" spans="1:21" x14ac:dyDescent="0.25">
      <c r="A29" s="26"/>
      <c r="B29" s="26"/>
      <c r="C29" s="26"/>
      <c r="D29" s="26"/>
      <c r="E29" s="26"/>
      <c r="F29" s="26"/>
      <c r="L29" s="26">
        <v>26</v>
      </c>
      <c r="M29" t="s">
        <v>68</v>
      </c>
      <c r="N29" s="1" t="str">
        <f t="shared" si="0"/>
        <v/>
      </c>
      <c r="O29" s="31"/>
      <c r="P29" s="34" t="str">
        <f t="shared" si="1"/>
        <v/>
      </c>
      <c r="R29" t="s">
        <v>68</v>
      </c>
      <c r="S29" s="1" t="str">
        <f t="shared" si="5"/>
        <v/>
      </c>
      <c r="T29" s="1"/>
      <c r="U29" s="35" t="str">
        <f t="shared" si="2"/>
        <v/>
      </c>
    </row>
    <row r="30" spans="1:21" x14ac:dyDescent="0.25">
      <c r="A30" s="26"/>
      <c r="B30" s="26"/>
      <c r="C30" s="26"/>
      <c r="D30" s="26"/>
      <c r="E30" s="26"/>
      <c r="F30" s="26"/>
      <c r="L30" s="26">
        <v>27</v>
      </c>
      <c r="M30" t="s">
        <v>69</v>
      </c>
      <c r="N30" s="1" t="str">
        <f t="shared" si="0"/>
        <v/>
      </c>
      <c r="O30" s="31"/>
      <c r="P30" s="34" t="str">
        <f t="shared" si="1"/>
        <v/>
      </c>
      <c r="R30" t="s">
        <v>69</v>
      </c>
      <c r="S30" s="1" t="str">
        <f t="shared" si="5"/>
        <v/>
      </c>
      <c r="T30" s="1"/>
      <c r="U30" s="35" t="str">
        <f t="shared" si="2"/>
        <v/>
      </c>
    </row>
    <row r="31" spans="1:21" x14ac:dyDescent="0.25">
      <c r="A31" s="26"/>
      <c r="B31" s="26"/>
      <c r="C31" s="26"/>
      <c r="D31" s="26"/>
      <c r="E31" s="26"/>
      <c r="F31" s="26"/>
      <c r="L31" s="26">
        <v>28</v>
      </c>
      <c r="M31" t="s">
        <v>292</v>
      </c>
      <c r="N31" s="1" t="str">
        <f t="shared" si="0"/>
        <v/>
      </c>
      <c r="O31" s="31"/>
      <c r="P31" s="34" t="str">
        <f t="shared" si="1"/>
        <v/>
      </c>
      <c r="R31" t="s">
        <v>292</v>
      </c>
      <c r="S31" s="1" t="str">
        <f t="shared" si="5"/>
        <v/>
      </c>
      <c r="T31" s="1"/>
      <c r="U31" s="35" t="str">
        <f t="shared" si="2"/>
        <v/>
      </c>
    </row>
    <row r="32" spans="1:21" x14ac:dyDescent="0.25">
      <c r="A32" s="26"/>
      <c r="B32" s="26"/>
      <c r="C32" s="26"/>
      <c r="D32" s="26"/>
      <c r="E32" s="26"/>
      <c r="F32" s="26"/>
      <c r="L32" s="26">
        <v>29</v>
      </c>
      <c r="M32" t="s">
        <v>291</v>
      </c>
      <c r="N32" s="1" t="str">
        <f t="shared" si="0"/>
        <v/>
      </c>
      <c r="O32" s="31"/>
      <c r="P32" s="34" t="str">
        <f t="shared" si="1"/>
        <v/>
      </c>
      <c r="R32" t="s">
        <v>291</v>
      </c>
      <c r="S32" s="1" t="str">
        <f t="shared" si="5"/>
        <v/>
      </c>
      <c r="T32" s="1"/>
      <c r="U32" s="35" t="str">
        <f t="shared" si="2"/>
        <v/>
      </c>
    </row>
    <row r="33" spans="1:21" x14ac:dyDescent="0.25">
      <c r="A33" s="26"/>
      <c r="B33" s="26"/>
      <c r="C33" s="26"/>
      <c r="D33" s="26"/>
      <c r="E33" s="26"/>
      <c r="F33" s="26"/>
      <c r="L33" s="26">
        <v>30</v>
      </c>
      <c r="M33" t="s">
        <v>290</v>
      </c>
      <c r="N33" s="1" t="str">
        <f t="shared" si="0"/>
        <v/>
      </c>
      <c r="O33" s="31"/>
      <c r="P33" s="34" t="str">
        <f t="shared" si="1"/>
        <v/>
      </c>
      <c r="R33" t="s">
        <v>290</v>
      </c>
      <c r="S33" s="1" t="str">
        <f t="shared" si="5"/>
        <v/>
      </c>
      <c r="T33" s="1"/>
      <c r="U33" s="35" t="str">
        <f t="shared" si="2"/>
        <v/>
      </c>
    </row>
    <row r="34" spans="1:21" x14ac:dyDescent="0.25">
      <c r="A34" s="26"/>
      <c r="B34" s="26"/>
      <c r="C34" s="26"/>
      <c r="D34" s="26"/>
      <c r="E34" s="26"/>
      <c r="F34" s="26"/>
      <c r="L34" s="26">
        <v>31</v>
      </c>
      <c r="M34" t="s">
        <v>289</v>
      </c>
      <c r="N34" s="1" t="str">
        <f t="shared" si="0"/>
        <v/>
      </c>
      <c r="O34" s="31"/>
      <c r="P34" s="34" t="str">
        <f t="shared" si="1"/>
        <v/>
      </c>
      <c r="R34" t="s">
        <v>289</v>
      </c>
      <c r="S34" s="1" t="str">
        <f t="shared" si="5"/>
        <v/>
      </c>
      <c r="T34" s="1"/>
      <c r="U34" s="35" t="str">
        <f t="shared" si="2"/>
        <v/>
      </c>
    </row>
    <row r="35" spans="1:21" x14ac:dyDescent="0.25">
      <c r="A35" s="26"/>
      <c r="B35" s="26"/>
      <c r="C35" s="26"/>
      <c r="D35" s="26"/>
      <c r="E35" s="26"/>
      <c r="F35" s="26"/>
      <c r="L35" s="26">
        <v>32</v>
      </c>
      <c r="M35" t="s">
        <v>288</v>
      </c>
      <c r="N35" s="1" t="str">
        <f t="shared" si="0"/>
        <v/>
      </c>
      <c r="O35" s="31"/>
      <c r="P35" s="34" t="str">
        <f t="shared" si="1"/>
        <v/>
      </c>
      <c r="R35" t="s">
        <v>288</v>
      </c>
      <c r="S35" s="1" t="str">
        <f t="shared" si="5"/>
        <v/>
      </c>
      <c r="T35" s="1"/>
      <c r="U35" s="35" t="str">
        <f t="shared" si="2"/>
        <v/>
      </c>
    </row>
    <row r="36" spans="1:21" x14ac:dyDescent="0.25">
      <c r="A36" s="26"/>
      <c r="B36" s="26"/>
      <c r="C36" s="26"/>
      <c r="D36" s="26"/>
      <c r="E36" s="26"/>
      <c r="F36" s="26"/>
      <c r="L36" s="26">
        <v>33</v>
      </c>
      <c r="M36" t="s">
        <v>287</v>
      </c>
      <c r="N36" s="1" t="str">
        <f t="shared" si="0"/>
        <v/>
      </c>
      <c r="O36" s="31"/>
      <c r="P36" s="34" t="str">
        <f t="shared" si="1"/>
        <v/>
      </c>
      <c r="R36" t="s">
        <v>287</v>
      </c>
      <c r="S36" s="1" t="str">
        <f t="shared" si="5"/>
        <v/>
      </c>
      <c r="T36" s="1"/>
      <c r="U36" s="35" t="str">
        <f t="shared" si="2"/>
        <v/>
      </c>
    </row>
    <row r="37" spans="1:21" x14ac:dyDescent="0.25">
      <c r="A37" s="26"/>
      <c r="B37" s="26"/>
      <c r="C37" s="26"/>
      <c r="D37" s="26"/>
      <c r="E37" s="26"/>
      <c r="F37" s="26"/>
      <c r="L37" s="26">
        <v>34</v>
      </c>
      <c r="M37" t="s">
        <v>286</v>
      </c>
      <c r="N37" s="1" t="str">
        <f t="shared" si="0"/>
        <v/>
      </c>
      <c r="O37" s="31"/>
      <c r="P37" s="34" t="str">
        <f t="shared" si="1"/>
        <v/>
      </c>
      <c r="R37" t="s">
        <v>286</v>
      </c>
      <c r="S37" s="1" t="str">
        <f t="shared" si="5"/>
        <v/>
      </c>
      <c r="T37" s="1"/>
      <c r="U37" s="35" t="str">
        <f t="shared" si="2"/>
        <v/>
      </c>
    </row>
    <row r="38" spans="1:21" x14ac:dyDescent="0.25">
      <c r="A38" s="26"/>
      <c r="B38" s="26"/>
      <c r="C38" s="26"/>
      <c r="D38" s="26"/>
      <c r="E38" s="26"/>
      <c r="F38" s="26"/>
      <c r="L38" s="26">
        <v>35</v>
      </c>
      <c r="M38" t="s">
        <v>285</v>
      </c>
      <c r="N38" s="1" t="str">
        <f t="shared" si="0"/>
        <v/>
      </c>
      <c r="O38" s="31"/>
      <c r="P38" s="34" t="str">
        <f t="shared" si="1"/>
        <v/>
      </c>
      <c r="R38" t="s">
        <v>285</v>
      </c>
      <c r="S38" s="1" t="str">
        <f t="shared" si="5"/>
        <v/>
      </c>
      <c r="T38" s="1"/>
      <c r="U38" s="35" t="str">
        <f t="shared" si="2"/>
        <v/>
      </c>
    </row>
    <row r="39" spans="1:21" x14ac:dyDescent="0.25">
      <c r="A39" s="26"/>
      <c r="B39" s="26"/>
      <c r="C39" s="26"/>
      <c r="D39" s="26"/>
      <c r="E39" s="26"/>
      <c r="F39" s="26"/>
      <c r="L39" s="26">
        <v>36</v>
      </c>
      <c r="M39" t="s">
        <v>284</v>
      </c>
      <c r="N39" s="1" t="str">
        <f t="shared" si="0"/>
        <v/>
      </c>
      <c r="O39" s="31"/>
      <c r="P39" s="34" t="str">
        <f t="shared" si="1"/>
        <v/>
      </c>
      <c r="R39" t="s">
        <v>284</v>
      </c>
      <c r="S39" s="1" t="str">
        <f t="shared" si="5"/>
        <v/>
      </c>
      <c r="T39" s="1"/>
      <c r="U39" s="35" t="str">
        <f t="shared" si="2"/>
        <v/>
      </c>
    </row>
    <row r="40" spans="1:21" x14ac:dyDescent="0.25">
      <c r="A40" s="26"/>
      <c r="B40" s="26"/>
      <c r="C40" s="26"/>
      <c r="D40" s="26"/>
      <c r="E40" s="26"/>
      <c r="F40" s="26"/>
      <c r="L40" s="26">
        <v>37</v>
      </c>
      <c r="M40" t="s">
        <v>283</v>
      </c>
      <c r="N40" s="1" t="str">
        <f t="shared" si="0"/>
        <v/>
      </c>
      <c r="O40" s="31"/>
      <c r="P40" s="34" t="str">
        <f t="shared" si="1"/>
        <v/>
      </c>
      <c r="R40" t="s">
        <v>283</v>
      </c>
      <c r="S40" s="1" t="str">
        <f t="shared" si="5"/>
        <v/>
      </c>
      <c r="T40" s="1"/>
      <c r="U40" s="35" t="str">
        <f t="shared" si="2"/>
        <v/>
      </c>
    </row>
    <row r="41" spans="1:21" x14ac:dyDescent="0.25">
      <c r="A41" s="26"/>
      <c r="B41" s="26"/>
      <c r="C41" s="26"/>
      <c r="D41" s="26"/>
      <c r="E41" s="26"/>
      <c r="F41" s="26"/>
      <c r="L41" s="26">
        <v>38</v>
      </c>
      <c r="M41" t="s">
        <v>282</v>
      </c>
      <c r="N41" s="1" t="str">
        <f t="shared" si="0"/>
        <v/>
      </c>
      <c r="O41" s="31"/>
      <c r="P41" s="34" t="str">
        <f t="shared" si="1"/>
        <v/>
      </c>
      <c r="R41" t="s">
        <v>282</v>
      </c>
      <c r="S41" s="1" t="str">
        <f t="shared" si="5"/>
        <v/>
      </c>
      <c r="T41" s="1"/>
      <c r="U41" s="35" t="str">
        <f t="shared" si="2"/>
        <v/>
      </c>
    </row>
    <row r="42" spans="1:21" x14ac:dyDescent="0.25">
      <c r="A42" s="26"/>
      <c r="B42" s="26"/>
      <c r="C42" s="26"/>
      <c r="D42" s="26"/>
      <c r="E42" s="26"/>
      <c r="F42" s="26"/>
      <c r="L42" s="26">
        <v>39</v>
      </c>
      <c r="M42" t="s">
        <v>281</v>
      </c>
      <c r="N42" s="1" t="str">
        <f t="shared" si="0"/>
        <v/>
      </c>
      <c r="O42" s="31"/>
      <c r="P42" s="34" t="str">
        <f t="shared" si="1"/>
        <v/>
      </c>
      <c r="R42" t="s">
        <v>281</v>
      </c>
      <c r="S42" s="1" t="str">
        <f t="shared" si="5"/>
        <v/>
      </c>
      <c r="T42" s="1"/>
      <c r="U42" s="35" t="str">
        <f t="shared" si="2"/>
        <v/>
      </c>
    </row>
    <row r="43" spans="1:21" x14ac:dyDescent="0.25">
      <c r="A43" s="26"/>
      <c r="B43" s="26"/>
      <c r="C43" s="26"/>
      <c r="D43" s="26"/>
      <c r="E43" s="26"/>
      <c r="F43" s="26"/>
      <c r="L43" s="26">
        <v>40</v>
      </c>
      <c r="M43" t="s">
        <v>280</v>
      </c>
      <c r="N43" s="1" t="str">
        <f t="shared" si="0"/>
        <v/>
      </c>
      <c r="O43" s="31"/>
      <c r="P43" s="34" t="str">
        <f t="shared" si="1"/>
        <v/>
      </c>
      <c r="R43" t="s">
        <v>280</v>
      </c>
      <c r="S43" s="1" t="str">
        <f t="shared" si="5"/>
        <v/>
      </c>
      <c r="T43" s="1"/>
      <c r="U43" s="35" t="str">
        <f t="shared" si="2"/>
        <v/>
      </c>
    </row>
    <row r="44" spans="1:21" x14ac:dyDescent="0.25">
      <c r="A44" s="26"/>
      <c r="B44" s="26"/>
      <c r="C44" s="26"/>
      <c r="D44" s="26"/>
      <c r="E44" s="26"/>
      <c r="F44" s="26"/>
      <c r="L44" s="26">
        <v>41</v>
      </c>
      <c r="M44" t="s">
        <v>279</v>
      </c>
      <c r="N44" s="1" t="str">
        <f t="shared" si="0"/>
        <v/>
      </c>
      <c r="O44" s="31"/>
      <c r="P44" s="34" t="str">
        <f t="shared" si="1"/>
        <v/>
      </c>
      <c r="R44" t="s">
        <v>279</v>
      </c>
      <c r="S44" s="1" t="str">
        <f t="shared" si="5"/>
        <v/>
      </c>
      <c r="T44" s="1"/>
      <c r="U44" s="35" t="str">
        <f t="shared" si="2"/>
        <v/>
      </c>
    </row>
    <row r="45" spans="1:21" x14ac:dyDescent="0.25">
      <c r="A45" s="26"/>
      <c r="B45" s="26"/>
      <c r="C45" s="26"/>
      <c r="D45" s="26"/>
      <c r="E45" s="26"/>
      <c r="F45" s="26"/>
      <c r="L45" s="26">
        <v>42</v>
      </c>
      <c r="M45" t="s">
        <v>278</v>
      </c>
      <c r="N45" s="1" t="str">
        <f t="shared" si="0"/>
        <v/>
      </c>
      <c r="O45" s="31"/>
      <c r="P45" s="34" t="str">
        <f t="shared" si="1"/>
        <v/>
      </c>
      <c r="R45" t="s">
        <v>278</v>
      </c>
      <c r="S45" s="1" t="str">
        <f t="shared" si="5"/>
        <v/>
      </c>
      <c r="T45" s="1"/>
      <c r="U45" s="35" t="str">
        <f t="shared" si="2"/>
        <v/>
      </c>
    </row>
    <row r="46" spans="1:21" x14ac:dyDescent="0.25">
      <c r="A46" s="26"/>
      <c r="B46" s="26"/>
      <c r="C46" s="26"/>
      <c r="D46" s="26"/>
      <c r="E46" s="26"/>
      <c r="F46" s="26"/>
      <c r="L46" s="26">
        <v>43</v>
      </c>
      <c r="M46" t="s">
        <v>277</v>
      </c>
      <c r="N46" s="1" t="str">
        <f t="shared" si="0"/>
        <v/>
      </c>
      <c r="O46" s="31"/>
      <c r="P46" s="34" t="str">
        <f t="shared" si="1"/>
        <v/>
      </c>
      <c r="R46" t="s">
        <v>277</v>
      </c>
      <c r="S46" s="1" t="str">
        <f t="shared" si="5"/>
        <v/>
      </c>
      <c r="T46" s="1"/>
      <c r="U46" s="35" t="str">
        <f t="shared" si="2"/>
        <v/>
      </c>
    </row>
    <row r="47" spans="1:21" x14ac:dyDescent="0.25">
      <c r="A47" s="26"/>
      <c r="B47" s="26"/>
      <c r="C47" s="26"/>
      <c r="D47" s="26"/>
      <c r="E47" s="26"/>
      <c r="F47" s="26"/>
      <c r="L47" s="26">
        <v>44</v>
      </c>
      <c r="M47" t="s">
        <v>276</v>
      </c>
      <c r="N47" s="1" t="str">
        <f t="shared" si="0"/>
        <v/>
      </c>
      <c r="O47" s="31"/>
      <c r="P47" s="34" t="str">
        <f t="shared" si="1"/>
        <v/>
      </c>
      <c r="R47" t="s">
        <v>276</v>
      </c>
      <c r="S47" s="1" t="str">
        <f t="shared" si="5"/>
        <v/>
      </c>
      <c r="T47" s="1"/>
      <c r="U47" s="35" t="str">
        <f t="shared" si="2"/>
        <v/>
      </c>
    </row>
    <row r="48" spans="1:21" x14ac:dyDescent="0.25">
      <c r="A48" s="26"/>
      <c r="B48" s="26"/>
      <c r="C48" s="26"/>
      <c r="D48" s="26"/>
      <c r="E48" s="26"/>
      <c r="F48" s="26"/>
      <c r="L48" s="26">
        <v>45</v>
      </c>
      <c r="M48" t="s">
        <v>275</v>
      </c>
      <c r="N48" s="1" t="str">
        <f t="shared" si="0"/>
        <v/>
      </c>
      <c r="O48" s="31"/>
      <c r="P48" s="34" t="str">
        <f t="shared" si="1"/>
        <v/>
      </c>
      <c r="R48" t="s">
        <v>275</v>
      </c>
      <c r="S48" s="1" t="str">
        <f t="shared" si="5"/>
        <v/>
      </c>
      <c r="T48" s="1"/>
      <c r="U48" s="35" t="str">
        <f t="shared" si="2"/>
        <v/>
      </c>
    </row>
    <row r="49" spans="1:21" x14ac:dyDescent="0.25">
      <c r="A49" s="26"/>
      <c r="B49" s="26"/>
      <c r="C49" s="26"/>
      <c r="D49" s="26"/>
      <c r="E49" s="26"/>
      <c r="F49" s="26"/>
      <c r="L49" s="26">
        <v>46</v>
      </c>
      <c r="M49" t="s">
        <v>274</v>
      </c>
      <c r="N49" s="1" t="str">
        <f t="shared" si="0"/>
        <v/>
      </c>
      <c r="O49" s="31"/>
      <c r="P49" s="34" t="str">
        <f t="shared" si="1"/>
        <v/>
      </c>
      <c r="R49" t="s">
        <v>274</v>
      </c>
      <c r="S49" s="1" t="str">
        <f t="shared" si="5"/>
        <v/>
      </c>
      <c r="T49" s="1"/>
      <c r="U49" s="35" t="str">
        <f t="shared" si="2"/>
        <v/>
      </c>
    </row>
    <row r="50" spans="1:21" x14ac:dyDescent="0.25">
      <c r="A50" s="26"/>
      <c r="B50" s="26"/>
      <c r="C50" s="26"/>
      <c r="D50" s="26"/>
      <c r="E50" s="26"/>
      <c r="F50" s="26"/>
      <c r="L50" s="26">
        <v>47</v>
      </c>
      <c r="M50" t="s">
        <v>273</v>
      </c>
      <c r="N50" s="1" t="str">
        <f t="shared" si="0"/>
        <v/>
      </c>
      <c r="O50" s="31"/>
      <c r="P50" s="34" t="str">
        <f t="shared" si="1"/>
        <v/>
      </c>
      <c r="R50" t="s">
        <v>273</v>
      </c>
      <c r="S50" s="1" t="str">
        <f t="shared" si="5"/>
        <v/>
      </c>
      <c r="T50" s="1"/>
      <c r="U50" s="35" t="str">
        <f t="shared" si="2"/>
        <v/>
      </c>
    </row>
    <row r="51" spans="1:21" x14ac:dyDescent="0.25">
      <c r="A51" s="26"/>
      <c r="B51" s="26"/>
      <c r="C51" s="26"/>
      <c r="D51" s="26"/>
      <c r="E51" s="26"/>
      <c r="F51" s="26"/>
      <c r="L51" s="26">
        <v>48</v>
      </c>
      <c r="M51" t="s">
        <v>272</v>
      </c>
      <c r="N51" s="1" t="str">
        <f t="shared" si="0"/>
        <v/>
      </c>
      <c r="O51" s="31"/>
      <c r="P51" s="34" t="str">
        <f t="shared" si="1"/>
        <v/>
      </c>
      <c r="R51" t="s">
        <v>272</v>
      </c>
      <c r="S51" s="1" t="str">
        <f t="shared" si="5"/>
        <v/>
      </c>
      <c r="T51" s="1"/>
      <c r="U51" s="35" t="str">
        <f t="shared" si="2"/>
        <v/>
      </c>
    </row>
    <row r="52" spans="1:21" x14ac:dyDescent="0.25">
      <c r="A52" s="26"/>
      <c r="B52" s="26"/>
      <c r="C52" s="26"/>
      <c r="D52" s="26"/>
      <c r="E52" s="26"/>
      <c r="F52" s="26"/>
      <c r="L52" s="26">
        <v>49</v>
      </c>
      <c r="M52" t="s">
        <v>271</v>
      </c>
      <c r="N52" s="1" t="str">
        <f t="shared" si="0"/>
        <v/>
      </c>
      <c r="O52" s="31"/>
      <c r="P52" s="34" t="str">
        <f t="shared" si="1"/>
        <v/>
      </c>
      <c r="R52" t="s">
        <v>271</v>
      </c>
      <c r="S52" s="1" t="str">
        <f t="shared" si="5"/>
        <v/>
      </c>
      <c r="T52" s="1"/>
      <c r="U52" s="35" t="str">
        <f t="shared" si="2"/>
        <v/>
      </c>
    </row>
    <row r="53" spans="1:21" x14ac:dyDescent="0.25">
      <c r="A53" s="26"/>
      <c r="B53" s="26"/>
      <c r="C53" s="26"/>
      <c r="D53" s="26"/>
      <c r="E53" s="26"/>
      <c r="F53" s="26"/>
      <c r="L53" s="26">
        <v>50</v>
      </c>
      <c r="M53" t="s">
        <v>270</v>
      </c>
      <c r="N53" s="1" t="str">
        <f t="shared" si="0"/>
        <v/>
      </c>
      <c r="O53" s="31"/>
      <c r="P53" s="34" t="str">
        <f t="shared" si="1"/>
        <v/>
      </c>
      <c r="R53" t="s">
        <v>270</v>
      </c>
      <c r="S53" s="1" t="str">
        <f t="shared" si="5"/>
        <v/>
      </c>
      <c r="T53" s="1"/>
      <c r="U53" s="35" t="str">
        <f t="shared" si="2"/>
        <v/>
      </c>
    </row>
    <row r="54" spans="1:21" x14ac:dyDescent="0.25">
      <c r="A54" s="26"/>
      <c r="B54" s="26"/>
      <c r="C54" s="26"/>
      <c r="D54" s="26"/>
      <c r="E54" s="26"/>
      <c r="F54" s="26"/>
      <c r="L54" s="26">
        <v>51</v>
      </c>
      <c r="M54" t="s">
        <v>269</v>
      </c>
      <c r="N54" s="1" t="str">
        <f t="shared" si="0"/>
        <v/>
      </c>
      <c r="O54" s="31"/>
      <c r="P54" s="34" t="str">
        <f t="shared" si="1"/>
        <v/>
      </c>
      <c r="R54" t="s">
        <v>269</v>
      </c>
      <c r="S54" s="1" t="str">
        <f t="shared" si="5"/>
        <v/>
      </c>
      <c r="T54" s="1"/>
      <c r="U54" s="35" t="str">
        <f t="shared" si="2"/>
        <v/>
      </c>
    </row>
    <row r="55" spans="1:21" x14ac:dyDescent="0.25">
      <c r="A55" s="26"/>
      <c r="B55" s="26"/>
      <c r="C55" s="26"/>
      <c r="D55" s="26"/>
      <c r="E55" s="26"/>
      <c r="F55" s="26"/>
      <c r="L55" s="26">
        <v>52</v>
      </c>
      <c r="M55" t="s">
        <v>268</v>
      </c>
      <c r="N55" s="1" t="str">
        <f t="shared" si="0"/>
        <v/>
      </c>
      <c r="O55" s="31"/>
      <c r="P55" s="34" t="str">
        <f t="shared" si="1"/>
        <v/>
      </c>
      <c r="R55" t="s">
        <v>268</v>
      </c>
      <c r="S55" s="1" t="str">
        <f t="shared" si="5"/>
        <v/>
      </c>
      <c r="T55" s="1"/>
      <c r="U55" s="35" t="str">
        <f t="shared" si="2"/>
        <v/>
      </c>
    </row>
    <row r="56" spans="1:21" x14ac:dyDescent="0.25">
      <c r="A56" s="26"/>
      <c r="B56" s="26"/>
      <c r="C56" s="26"/>
      <c r="D56" s="26"/>
      <c r="E56" s="26"/>
      <c r="F56" s="26"/>
      <c r="L56" s="26">
        <v>53</v>
      </c>
      <c r="M56" t="s">
        <v>267</v>
      </c>
      <c r="N56" s="1" t="str">
        <f t="shared" si="0"/>
        <v/>
      </c>
      <c r="O56" s="31"/>
      <c r="P56" s="34" t="str">
        <f t="shared" si="1"/>
        <v/>
      </c>
      <c r="R56" t="s">
        <v>267</v>
      </c>
      <c r="S56" s="1" t="str">
        <f t="shared" si="5"/>
        <v/>
      </c>
      <c r="T56" s="1"/>
      <c r="U56" s="35" t="str">
        <f t="shared" si="2"/>
        <v/>
      </c>
    </row>
    <row r="57" spans="1:21" x14ac:dyDescent="0.25">
      <c r="A57" s="26"/>
      <c r="B57" s="26"/>
      <c r="C57" s="26"/>
      <c r="D57" s="26"/>
      <c r="E57" s="26"/>
      <c r="F57" s="26"/>
      <c r="L57" s="26">
        <v>54</v>
      </c>
      <c r="M57" t="s">
        <v>266</v>
      </c>
      <c r="N57" s="1" t="str">
        <f t="shared" si="0"/>
        <v/>
      </c>
      <c r="O57" s="31"/>
      <c r="P57" s="34" t="str">
        <f t="shared" si="1"/>
        <v/>
      </c>
      <c r="R57" t="s">
        <v>266</v>
      </c>
      <c r="S57" s="1" t="str">
        <f t="shared" si="5"/>
        <v/>
      </c>
      <c r="T57" s="1"/>
      <c r="U57" s="35" t="str">
        <f t="shared" si="2"/>
        <v/>
      </c>
    </row>
    <row r="58" spans="1:21" x14ac:dyDescent="0.25">
      <c r="A58" s="26"/>
      <c r="B58" s="26"/>
      <c r="C58" s="26"/>
      <c r="D58" s="26"/>
      <c r="E58" s="26"/>
      <c r="F58" s="26"/>
      <c r="L58" s="26">
        <v>55</v>
      </c>
      <c r="M58" t="s">
        <v>265</v>
      </c>
      <c r="N58" s="1" t="str">
        <f t="shared" si="0"/>
        <v/>
      </c>
      <c r="O58" s="31"/>
      <c r="P58" s="34" t="str">
        <f t="shared" si="1"/>
        <v/>
      </c>
      <c r="R58" t="s">
        <v>265</v>
      </c>
      <c r="S58" s="1" t="str">
        <f t="shared" si="5"/>
        <v/>
      </c>
      <c r="T58" s="1"/>
      <c r="U58" s="35" t="str">
        <f t="shared" si="2"/>
        <v/>
      </c>
    </row>
    <row r="59" spans="1:21" x14ac:dyDescent="0.25">
      <c r="A59" s="26"/>
      <c r="B59" s="26"/>
      <c r="C59" s="26"/>
      <c r="D59" s="26"/>
      <c r="E59" s="26"/>
      <c r="F59" s="26"/>
      <c r="L59" s="26">
        <v>56</v>
      </c>
      <c r="M59" t="s">
        <v>264</v>
      </c>
      <c r="N59" s="1" t="str">
        <f t="shared" si="0"/>
        <v/>
      </c>
      <c r="O59" s="31"/>
      <c r="P59" s="34" t="str">
        <f t="shared" si="1"/>
        <v/>
      </c>
      <c r="R59" t="s">
        <v>264</v>
      </c>
      <c r="S59" s="1" t="str">
        <f t="shared" si="5"/>
        <v/>
      </c>
      <c r="T59" s="1"/>
      <c r="U59" s="35" t="str">
        <f t="shared" si="2"/>
        <v/>
      </c>
    </row>
    <row r="60" spans="1:21" x14ac:dyDescent="0.25">
      <c r="A60" s="26"/>
      <c r="B60" s="26"/>
      <c r="C60" s="26"/>
      <c r="D60" s="26"/>
      <c r="E60" s="26"/>
      <c r="F60" s="26"/>
      <c r="L60" s="26">
        <v>57</v>
      </c>
      <c r="M60" t="s">
        <v>263</v>
      </c>
      <c r="N60" s="1" t="str">
        <f t="shared" si="0"/>
        <v/>
      </c>
      <c r="O60" s="31"/>
      <c r="P60" s="34" t="str">
        <f t="shared" si="1"/>
        <v/>
      </c>
      <c r="R60" t="s">
        <v>263</v>
      </c>
      <c r="S60" s="1" t="str">
        <f t="shared" si="5"/>
        <v/>
      </c>
      <c r="T60" s="1"/>
      <c r="U60" s="35" t="str">
        <f t="shared" si="2"/>
        <v/>
      </c>
    </row>
    <row r="61" spans="1:21" x14ac:dyDescent="0.25">
      <c r="A61" s="26"/>
      <c r="B61" s="26"/>
      <c r="C61" s="26"/>
      <c r="D61" s="26"/>
      <c r="E61" s="26"/>
      <c r="F61" s="26"/>
      <c r="L61" s="26">
        <v>58</v>
      </c>
      <c r="M61" t="s">
        <v>262</v>
      </c>
      <c r="N61" s="1" t="str">
        <f t="shared" si="0"/>
        <v/>
      </c>
      <c r="O61" s="31"/>
      <c r="P61" s="34" t="str">
        <f t="shared" si="1"/>
        <v/>
      </c>
      <c r="R61" t="s">
        <v>262</v>
      </c>
      <c r="S61" s="1" t="str">
        <f t="shared" si="5"/>
        <v/>
      </c>
      <c r="T61" s="1"/>
      <c r="U61" s="35" t="str">
        <f t="shared" si="2"/>
        <v/>
      </c>
    </row>
    <row r="62" spans="1:21" x14ac:dyDescent="0.25">
      <c r="A62" s="26"/>
      <c r="B62" s="26"/>
      <c r="C62" s="26"/>
      <c r="D62" s="26"/>
      <c r="E62" s="26"/>
      <c r="F62" s="26"/>
      <c r="L62" s="26">
        <v>59</v>
      </c>
      <c r="M62" t="s">
        <v>261</v>
      </c>
      <c r="N62" s="1" t="str">
        <f t="shared" si="0"/>
        <v/>
      </c>
      <c r="O62" s="31"/>
      <c r="P62" s="34" t="str">
        <f t="shared" si="1"/>
        <v/>
      </c>
      <c r="R62" t="s">
        <v>261</v>
      </c>
      <c r="S62" s="1" t="str">
        <f t="shared" si="5"/>
        <v/>
      </c>
      <c r="T62" s="1"/>
      <c r="U62" s="35" t="str">
        <f t="shared" si="2"/>
        <v/>
      </c>
    </row>
    <row r="63" spans="1:21" x14ac:dyDescent="0.25">
      <c r="A63" s="26"/>
      <c r="B63" s="26"/>
      <c r="C63" s="26"/>
      <c r="D63" s="26"/>
      <c r="E63" s="26"/>
      <c r="F63" s="26"/>
      <c r="L63" s="26">
        <v>60</v>
      </c>
      <c r="M63" t="s">
        <v>260</v>
      </c>
      <c r="N63" s="1" t="str">
        <f t="shared" si="0"/>
        <v/>
      </c>
      <c r="O63" s="31"/>
      <c r="P63" s="34" t="str">
        <f t="shared" si="1"/>
        <v/>
      </c>
      <c r="R63" t="s">
        <v>260</v>
      </c>
      <c r="S63" s="1" t="str">
        <f t="shared" si="5"/>
        <v/>
      </c>
      <c r="T63" s="1"/>
      <c r="U63" s="35" t="str">
        <f t="shared" si="2"/>
        <v/>
      </c>
    </row>
    <row r="64" spans="1:21" x14ac:dyDescent="0.25">
      <c r="A64" s="26"/>
      <c r="B64" s="26"/>
      <c r="C64" s="26"/>
      <c r="D64" s="26"/>
      <c r="E64" s="26"/>
      <c r="F64" s="26"/>
      <c r="L64" s="26">
        <v>61</v>
      </c>
      <c r="M64" t="s">
        <v>259</v>
      </c>
      <c r="N64" s="1" t="str">
        <f t="shared" si="0"/>
        <v/>
      </c>
      <c r="O64" s="31"/>
      <c r="P64" s="34" t="str">
        <f t="shared" si="1"/>
        <v/>
      </c>
      <c r="R64" t="s">
        <v>259</v>
      </c>
      <c r="S64" s="1" t="str">
        <f t="shared" si="5"/>
        <v/>
      </c>
      <c r="T64" s="1"/>
      <c r="U64" s="35" t="str">
        <f t="shared" si="2"/>
        <v/>
      </c>
    </row>
    <row r="65" spans="1:21" x14ac:dyDescent="0.25">
      <c r="A65" s="26"/>
      <c r="B65" s="26"/>
      <c r="C65" s="26"/>
      <c r="D65" s="26"/>
      <c r="E65" s="26"/>
      <c r="F65" s="26"/>
      <c r="L65" s="26">
        <v>62</v>
      </c>
      <c r="M65" t="s">
        <v>258</v>
      </c>
      <c r="N65" s="1" t="str">
        <f t="shared" si="0"/>
        <v/>
      </c>
      <c r="O65" s="31"/>
      <c r="P65" s="34" t="str">
        <f t="shared" si="1"/>
        <v/>
      </c>
      <c r="R65" t="s">
        <v>258</v>
      </c>
      <c r="S65" s="1" t="str">
        <f t="shared" si="5"/>
        <v/>
      </c>
      <c r="T65" s="1"/>
      <c r="U65" s="35" t="str">
        <f t="shared" si="2"/>
        <v/>
      </c>
    </row>
    <row r="66" spans="1:21" x14ac:dyDescent="0.25">
      <c r="A66" s="26"/>
      <c r="B66" s="26"/>
      <c r="C66" s="26"/>
      <c r="D66" s="26"/>
      <c r="E66" s="26"/>
      <c r="F66" s="26"/>
      <c r="L66" s="26">
        <v>63</v>
      </c>
      <c r="M66" t="s">
        <v>257</v>
      </c>
      <c r="N66" s="1" t="str">
        <f t="shared" si="0"/>
        <v/>
      </c>
      <c r="O66" s="31"/>
      <c r="P66" s="34" t="str">
        <f t="shared" si="1"/>
        <v/>
      </c>
      <c r="R66" t="s">
        <v>257</v>
      </c>
      <c r="S66" s="1" t="str">
        <f t="shared" si="5"/>
        <v/>
      </c>
      <c r="T66" s="1"/>
      <c r="U66" s="35" t="str">
        <f t="shared" si="2"/>
        <v/>
      </c>
    </row>
    <row r="67" spans="1:21" x14ac:dyDescent="0.25">
      <c r="A67" s="26"/>
      <c r="B67" s="26"/>
      <c r="C67" s="26"/>
      <c r="D67" s="26"/>
      <c r="E67" s="26"/>
      <c r="F67" s="26"/>
      <c r="L67" s="26">
        <v>64</v>
      </c>
      <c r="M67" t="s">
        <v>256</v>
      </c>
      <c r="N67" s="1" t="str">
        <f t="shared" si="0"/>
        <v/>
      </c>
      <c r="O67" s="31"/>
      <c r="P67" s="34" t="str">
        <f t="shared" si="1"/>
        <v/>
      </c>
      <c r="R67" t="s">
        <v>256</v>
      </c>
      <c r="S67" s="1" t="str">
        <f t="shared" si="5"/>
        <v/>
      </c>
      <c r="T67" s="1"/>
      <c r="U67" s="35" t="str">
        <f t="shared" si="2"/>
        <v/>
      </c>
    </row>
    <row r="68" spans="1:21" x14ac:dyDescent="0.25">
      <c r="A68" s="26"/>
      <c r="B68" s="26"/>
      <c r="C68" s="26"/>
      <c r="D68" s="26"/>
      <c r="E68" s="26"/>
      <c r="F68" s="26"/>
      <c r="L68" s="26">
        <v>65</v>
      </c>
      <c r="M68" t="s">
        <v>255</v>
      </c>
      <c r="N68" s="1" t="str">
        <f t="shared" si="0"/>
        <v/>
      </c>
      <c r="O68" s="31"/>
      <c r="P68" s="34" t="str">
        <f t="shared" si="1"/>
        <v/>
      </c>
      <c r="R68" t="s">
        <v>255</v>
      </c>
      <c r="S68" s="1" t="str">
        <f t="shared" si="5"/>
        <v/>
      </c>
      <c r="T68" s="1"/>
      <c r="U68" s="35" t="str">
        <f t="shared" si="2"/>
        <v/>
      </c>
    </row>
    <row r="69" spans="1:21" x14ac:dyDescent="0.25">
      <c r="A69" s="26"/>
      <c r="B69" s="26"/>
      <c r="C69" s="26"/>
      <c r="D69" s="26"/>
      <c r="E69" s="26"/>
      <c r="F69" s="26"/>
      <c r="L69" s="26">
        <v>66</v>
      </c>
      <c r="M69" t="s">
        <v>254</v>
      </c>
      <c r="N69" s="1" t="str">
        <f t="shared" ref="N69:N132" si="6">IF(L69&gt;$I$2,"",F69/$D$3-1)</f>
        <v/>
      </c>
      <c r="O69" s="31"/>
      <c r="P69" s="34" t="str">
        <f t="shared" ref="P69:P132" si="7">IF(AND(L69&lt;=$I$2,N69&lt;= -0.1),1,"")</f>
        <v/>
      </c>
      <c r="R69" t="s">
        <v>254</v>
      </c>
      <c r="S69" s="1" t="str">
        <f t="shared" si="5"/>
        <v/>
      </c>
      <c r="T69" s="1"/>
      <c r="U69" s="35" t="str">
        <f t="shared" ref="U69:U132" si="8">IF(AND(L69&lt;=$I$2,S69&gt;=0.2),1,"")</f>
        <v/>
      </c>
    </row>
    <row r="70" spans="1:21" x14ac:dyDescent="0.25">
      <c r="A70" s="26"/>
      <c r="B70" s="26"/>
      <c r="C70" s="26"/>
      <c r="D70" s="26"/>
      <c r="E70" s="26"/>
      <c r="F70" s="26"/>
      <c r="L70" s="26">
        <v>67</v>
      </c>
      <c r="M70" t="s">
        <v>253</v>
      </c>
      <c r="N70" s="1" t="str">
        <f t="shared" si="6"/>
        <v/>
      </c>
      <c r="O70" s="31"/>
      <c r="P70" s="34" t="str">
        <f t="shared" si="7"/>
        <v/>
      </c>
      <c r="R70" t="s">
        <v>253</v>
      </c>
      <c r="S70" s="1" t="str">
        <f t="shared" si="5"/>
        <v/>
      </c>
      <c r="T70" s="1"/>
      <c r="U70" s="35" t="str">
        <f t="shared" si="8"/>
        <v/>
      </c>
    </row>
    <row r="71" spans="1:21" x14ac:dyDescent="0.25">
      <c r="A71" s="26"/>
      <c r="B71" s="26"/>
      <c r="C71" s="26"/>
      <c r="D71" s="26"/>
      <c r="E71" s="26"/>
      <c r="F71" s="26"/>
      <c r="L71" s="26">
        <v>68</v>
      </c>
      <c r="M71" t="s">
        <v>252</v>
      </c>
      <c r="N71" s="1" t="str">
        <f t="shared" si="6"/>
        <v/>
      </c>
      <c r="O71" s="31"/>
      <c r="P71" s="34" t="str">
        <f t="shared" si="7"/>
        <v/>
      </c>
      <c r="R71" t="s">
        <v>252</v>
      </c>
      <c r="S71" s="1" t="str">
        <f t="shared" si="5"/>
        <v/>
      </c>
      <c r="T71" s="1"/>
      <c r="U71" s="35" t="str">
        <f t="shared" si="8"/>
        <v/>
      </c>
    </row>
    <row r="72" spans="1:21" x14ac:dyDescent="0.25">
      <c r="A72" s="26"/>
      <c r="B72" s="26"/>
      <c r="C72" s="26"/>
      <c r="D72" s="26"/>
      <c r="E72" s="26"/>
      <c r="F72" s="26"/>
      <c r="L72" s="26">
        <v>69</v>
      </c>
      <c r="M72" t="s">
        <v>251</v>
      </c>
      <c r="N72" s="1" t="str">
        <f t="shared" si="6"/>
        <v/>
      </c>
      <c r="O72" s="31"/>
      <c r="P72" s="34" t="str">
        <f t="shared" si="7"/>
        <v/>
      </c>
      <c r="R72" t="s">
        <v>251</v>
      </c>
      <c r="S72" s="1" t="str">
        <f t="shared" si="5"/>
        <v/>
      </c>
      <c r="T72" s="1"/>
      <c r="U72" s="35" t="str">
        <f t="shared" si="8"/>
        <v/>
      </c>
    </row>
    <row r="73" spans="1:21" x14ac:dyDescent="0.25">
      <c r="A73" s="26"/>
      <c r="B73" s="26"/>
      <c r="C73" s="26"/>
      <c r="D73" s="26"/>
      <c r="E73" s="26"/>
      <c r="F73" s="26"/>
      <c r="L73" s="26">
        <v>70</v>
      </c>
      <c r="M73" t="s">
        <v>250</v>
      </c>
      <c r="N73" s="1" t="str">
        <f t="shared" si="6"/>
        <v/>
      </c>
      <c r="O73" s="31"/>
      <c r="P73" s="34" t="str">
        <f t="shared" si="7"/>
        <v/>
      </c>
      <c r="R73" t="s">
        <v>250</v>
      </c>
      <c r="S73" s="1" t="str">
        <f t="shared" si="5"/>
        <v/>
      </c>
      <c r="T73" s="1"/>
      <c r="U73" s="35" t="str">
        <f t="shared" si="8"/>
        <v/>
      </c>
    </row>
    <row r="74" spans="1:21" x14ac:dyDescent="0.25">
      <c r="A74" s="26"/>
      <c r="B74" s="26"/>
      <c r="C74" s="26"/>
      <c r="D74" s="26"/>
      <c r="E74" s="26"/>
      <c r="F74" s="26"/>
      <c r="L74" s="26">
        <v>71</v>
      </c>
      <c r="M74" t="s">
        <v>249</v>
      </c>
      <c r="N74" s="1" t="str">
        <f t="shared" si="6"/>
        <v/>
      </c>
      <c r="O74" s="31"/>
      <c r="P74" s="34" t="str">
        <f t="shared" si="7"/>
        <v/>
      </c>
      <c r="R74" t="s">
        <v>249</v>
      </c>
      <c r="S74" s="1" t="str">
        <f t="shared" si="5"/>
        <v/>
      </c>
      <c r="T74" s="1"/>
      <c r="U74" s="35" t="str">
        <f t="shared" si="8"/>
        <v/>
      </c>
    </row>
    <row r="75" spans="1:21" x14ac:dyDescent="0.25">
      <c r="A75" s="26"/>
      <c r="B75" s="26"/>
      <c r="C75" s="26"/>
      <c r="D75" s="26"/>
      <c r="E75" s="26"/>
      <c r="F75" s="26"/>
      <c r="L75" s="26">
        <v>72</v>
      </c>
      <c r="M75" t="s">
        <v>248</v>
      </c>
      <c r="N75" s="1" t="str">
        <f t="shared" si="6"/>
        <v/>
      </c>
      <c r="O75" s="31"/>
      <c r="P75" s="34" t="str">
        <f t="shared" si="7"/>
        <v/>
      </c>
      <c r="R75" t="s">
        <v>248</v>
      </c>
      <c r="S75" s="1" t="str">
        <f t="shared" si="5"/>
        <v/>
      </c>
      <c r="T75" s="1"/>
      <c r="U75" s="35" t="str">
        <f t="shared" si="8"/>
        <v/>
      </c>
    </row>
    <row r="76" spans="1:21" x14ac:dyDescent="0.25">
      <c r="A76" s="26"/>
      <c r="B76" s="26"/>
      <c r="C76" s="26"/>
      <c r="D76" s="26"/>
      <c r="E76" s="26"/>
      <c r="F76" s="26"/>
      <c r="L76" s="26">
        <v>73</v>
      </c>
      <c r="M76" t="s">
        <v>247</v>
      </c>
      <c r="N76" s="1" t="str">
        <f t="shared" si="6"/>
        <v/>
      </c>
      <c r="O76" s="31"/>
      <c r="P76" s="34" t="str">
        <f t="shared" si="7"/>
        <v/>
      </c>
      <c r="R76" t="s">
        <v>247</v>
      </c>
      <c r="S76" s="1" t="str">
        <f t="shared" si="5"/>
        <v/>
      </c>
      <c r="T76" s="1"/>
      <c r="U76" s="35" t="str">
        <f t="shared" si="8"/>
        <v/>
      </c>
    </row>
    <row r="77" spans="1:21" x14ac:dyDescent="0.25">
      <c r="A77" s="26"/>
      <c r="B77" s="26"/>
      <c r="C77" s="26"/>
      <c r="D77" s="26"/>
      <c r="E77" s="26"/>
      <c r="F77" s="26"/>
      <c r="L77" s="26">
        <v>74</v>
      </c>
      <c r="M77" t="s">
        <v>246</v>
      </c>
      <c r="N77" s="1" t="str">
        <f t="shared" si="6"/>
        <v/>
      </c>
      <c r="O77" s="31"/>
      <c r="P77" s="34" t="str">
        <f t="shared" si="7"/>
        <v/>
      </c>
      <c r="R77" t="s">
        <v>246</v>
      </c>
      <c r="S77" s="1" t="str">
        <f t="shared" si="5"/>
        <v/>
      </c>
      <c r="T77" s="1"/>
      <c r="U77" s="35" t="str">
        <f t="shared" si="8"/>
        <v/>
      </c>
    </row>
    <row r="78" spans="1:21" x14ac:dyDescent="0.25">
      <c r="A78" s="26"/>
      <c r="B78" s="26"/>
      <c r="C78" s="26"/>
      <c r="D78" s="26"/>
      <c r="E78" s="26"/>
      <c r="F78" s="26"/>
      <c r="L78" s="26">
        <v>75</v>
      </c>
      <c r="M78" t="s">
        <v>245</v>
      </c>
      <c r="N78" s="1" t="str">
        <f t="shared" si="6"/>
        <v/>
      </c>
      <c r="O78" s="31"/>
      <c r="P78" s="34" t="str">
        <f t="shared" si="7"/>
        <v/>
      </c>
      <c r="R78" t="s">
        <v>245</v>
      </c>
      <c r="S78" s="1" t="str">
        <f t="shared" si="5"/>
        <v/>
      </c>
      <c r="T78" s="1"/>
      <c r="U78" s="35" t="str">
        <f t="shared" si="8"/>
        <v/>
      </c>
    </row>
    <row r="79" spans="1:21" x14ac:dyDescent="0.25">
      <c r="A79" s="26"/>
      <c r="B79" s="26"/>
      <c r="C79" s="26"/>
      <c r="D79" s="26"/>
      <c r="E79" s="26"/>
      <c r="F79" s="26"/>
      <c r="L79" s="26">
        <v>76</v>
      </c>
      <c r="M79" t="s">
        <v>244</v>
      </c>
      <c r="N79" s="1" t="str">
        <f t="shared" si="6"/>
        <v/>
      </c>
      <c r="O79" s="31"/>
      <c r="P79" s="34" t="str">
        <f t="shared" si="7"/>
        <v/>
      </c>
      <c r="R79" t="s">
        <v>244</v>
      </c>
      <c r="S79" s="1" t="str">
        <f t="shared" si="5"/>
        <v/>
      </c>
      <c r="T79" s="1"/>
      <c r="U79" s="35" t="str">
        <f t="shared" si="8"/>
        <v/>
      </c>
    </row>
    <row r="80" spans="1:21" x14ac:dyDescent="0.25">
      <c r="A80" s="26"/>
      <c r="B80" s="26"/>
      <c r="C80" s="26"/>
      <c r="D80" s="26"/>
      <c r="E80" s="26"/>
      <c r="F80" s="26"/>
      <c r="L80" s="26">
        <v>77</v>
      </c>
      <c r="M80" t="s">
        <v>243</v>
      </c>
      <c r="N80" s="1" t="str">
        <f t="shared" si="6"/>
        <v/>
      </c>
      <c r="O80" s="31"/>
      <c r="P80" s="34" t="str">
        <f t="shared" si="7"/>
        <v/>
      </c>
      <c r="R80" t="s">
        <v>243</v>
      </c>
      <c r="S80" s="1" t="str">
        <f t="shared" si="5"/>
        <v/>
      </c>
      <c r="T80" s="1"/>
      <c r="U80" s="35" t="str">
        <f t="shared" si="8"/>
        <v/>
      </c>
    </row>
    <row r="81" spans="1:21" x14ac:dyDescent="0.25">
      <c r="A81" s="26"/>
      <c r="B81" s="26"/>
      <c r="C81" s="26"/>
      <c r="D81" s="26"/>
      <c r="E81" s="26"/>
      <c r="F81" s="26"/>
      <c r="L81" s="26">
        <v>78</v>
      </c>
      <c r="M81" t="s">
        <v>242</v>
      </c>
      <c r="N81" s="1" t="str">
        <f t="shared" si="6"/>
        <v/>
      </c>
      <c r="O81" s="31"/>
      <c r="P81" s="34" t="str">
        <f t="shared" si="7"/>
        <v/>
      </c>
      <c r="R81" t="s">
        <v>242</v>
      </c>
      <c r="S81" s="1" t="str">
        <f t="shared" si="5"/>
        <v/>
      </c>
      <c r="T81" s="1"/>
      <c r="U81" s="35" t="str">
        <f t="shared" si="8"/>
        <v/>
      </c>
    </row>
    <row r="82" spans="1:21" x14ac:dyDescent="0.25">
      <c r="A82" s="26"/>
      <c r="B82" s="26"/>
      <c r="C82" s="26"/>
      <c r="D82" s="26"/>
      <c r="E82" s="26"/>
      <c r="F82" s="26"/>
      <c r="L82" s="26">
        <v>79</v>
      </c>
      <c r="M82" t="s">
        <v>241</v>
      </c>
      <c r="N82" s="1" t="str">
        <f t="shared" si="6"/>
        <v/>
      </c>
      <c r="O82" s="31"/>
      <c r="P82" s="34" t="str">
        <f t="shared" si="7"/>
        <v/>
      </c>
      <c r="R82" t="s">
        <v>241</v>
      </c>
      <c r="S82" s="1" t="str">
        <f t="shared" si="5"/>
        <v/>
      </c>
      <c r="T82" s="1"/>
      <c r="U82" s="35" t="str">
        <f t="shared" si="8"/>
        <v/>
      </c>
    </row>
    <row r="83" spans="1:21" x14ac:dyDescent="0.25">
      <c r="A83" s="26"/>
      <c r="B83" s="26"/>
      <c r="C83" s="26"/>
      <c r="D83" s="26"/>
      <c r="E83" s="26"/>
      <c r="F83" s="26"/>
      <c r="L83" s="26">
        <v>80</v>
      </c>
      <c r="M83" t="s">
        <v>240</v>
      </c>
      <c r="N83" s="1" t="str">
        <f t="shared" si="6"/>
        <v/>
      </c>
      <c r="O83" s="31"/>
      <c r="P83" s="34" t="str">
        <f t="shared" si="7"/>
        <v/>
      </c>
      <c r="R83" t="s">
        <v>240</v>
      </c>
      <c r="S83" s="1" t="str">
        <f t="shared" si="5"/>
        <v/>
      </c>
      <c r="T83" s="1"/>
      <c r="U83" s="35" t="str">
        <f t="shared" si="8"/>
        <v/>
      </c>
    </row>
    <row r="84" spans="1:21" x14ac:dyDescent="0.25">
      <c r="A84" s="26"/>
      <c r="B84" s="26"/>
      <c r="C84" s="26"/>
      <c r="D84" s="26"/>
      <c r="E84" s="26"/>
      <c r="F84" s="26"/>
      <c r="L84" s="26">
        <v>81</v>
      </c>
      <c r="M84" t="s">
        <v>239</v>
      </c>
      <c r="N84" s="1" t="str">
        <f t="shared" si="6"/>
        <v/>
      </c>
      <c r="O84" s="31"/>
      <c r="P84" s="34" t="str">
        <f t="shared" si="7"/>
        <v/>
      </c>
      <c r="R84" t="s">
        <v>239</v>
      </c>
      <c r="S84" s="1" t="str">
        <f t="shared" si="5"/>
        <v/>
      </c>
      <c r="T84" s="1"/>
      <c r="U84" s="35" t="str">
        <f t="shared" si="8"/>
        <v/>
      </c>
    </row>
    <row r="85" spans="1:21" x14ac:dyDescent="0.25">
      <c r="A85" s="26"/>
      <c r="B85" s="26"/>
      <c r="C85" s="26"/>
      <c r="D85" s="26"/>
      <c r="E85" s="26"/>
      <c r="F85" s="26"/>
      <c r="L85" s="26">
        <v>82</v>
      </c>
      <c r="M85" t="s">
        <v>238</v>
      </c>
      <c r="N85" s="1" t="str">
        <f t="shared" si="6"/>
        <v/>
      </c>
      <c r="O85" s="31"/>
      <c r="P85" s="34" t="str">
        <f t="shared" si="7"/>
        <v/>
      </c>
      <c r="R85" t="s">
        <v>238</v>
      </c>
      <c r="S85" s="1" t="str">
        <f t="shared" si="5"/>
        <v/>
      </c>
      <c r="T85" s="1"/>
      <c r="U85" s="35" t="str">
        <f t="shared" si="8"/>
        <v/>
      </c>
    </row>
    <row r="86" spans="1:21" x14ac:dyDescent="0.25">
      <c r="A86" s="26"/>
      <c r="B86" s="26"/>
      <c r="C86" s="26"/>
      <c r="D86" s="26"/>
      <c r="E86" s="26"/>
      <c r="F86" s="26"/>
      <c r="L86" s="26">
        <v>83</v>
      </c>
      <c r="M86" t="s">
        <v>237</v>
      </c>
      <c r="N86" s="1" t="str">
        <f t="shared" si="6"/>
        <v/>
      </c>
      <c r="O86" s="31"/>
      <c r="P86" s="34" t="str">
        <f t="shared" si="7"/>
        <v/>
      </c>
      <c r="R86" t="s">
        <v>237</v>
      </c>
      <c r="S86" s="1" t="str">
        <f t="shared" si="5"/>
        <v/>
      </c>
      <c r="T86" s="1"/>
      <c r="U86" s="35" t="str">
        <f t="shared" si="8"/>
        <v/>
      </c>
    </row>
    <row r="87" spans="1:21" x14ac:dyDescent="0.25">
      <c r="A87" s="26"/>
      <c r="B87" s="26"/>
      <c r="C87" s="26"/>
      <c r="D87" s="26"/>
      <c r="E87" s="26"/>
      <c r="F87" s="26"/>
      <c r="L87" s="26">
        <v>84</v>
      </c>
      <c r="M87" t="s">
        <v>236</v>
      </c>
      <c r="N87" s="1" t="str">
        <f t="shared" si="6"/>
        <v/>
      </c>
      <c r="O87" s="31"/>
      <c r="P87" s="34" t="str">
        <f t="shared" si="7"/>
        <v/>
      </c>
      <c r="R87" t="s">
        <v>236</v>
      </c>
      <c r="S87" s="1" t="str">
        <f t="shared" si="5"/>
        <v/>
      </c>
      <c r="T87" s="1"/>
      <c r="U87" s="35" t="str">
        <f t="shared" si="8"/>
        <v/>
      </c>
    </row>
    <row r="88" spans="1:21" x14ac:dyDescent="0.25">
      <c r="A88" s="26"/>
      <c r="B88" s="26"/>
      <c r="C88" s="26"/>
      <c r="D88" s="26"/>
      <c r="E88" s="26"/>
      <c r="F88" s="26"/>
      <c r="L88" s="26">
        <v>85</v>
      </c>
      <c r="M88" t="s">
        <v>235</v>
      </c>
      <c r="N88" s="1" t="str">
        <f t="shared" si="6"/>
        <v/>
      </c>
      <c r="O88" s="31"/>
      <c r="P88" s="34" t="str">
        <f t="shared" si="7"/>
        <v/>
      </c>
      <c r="R88" t="s">
        <v>235</v>
      </c>
      <c r="S88" s="1" t="str">
        <f t="shared" ref="S88:S151" si="9">IF(L88&gt;$I$2,"",E88/$D$3-1)</f>
        <v/>
      </c>
      <c r="T88" s="1"/>
      <c r="U88" s="35" t="str">
        <f t="shared" si="8"/>
        <v/>
      </c>
    </row>
    <row r="89" spans="1:21" x14ac:dyDescent="0.25">
      <c r="A89" s="26"/>
      <c r="B89" s="26"/>
      <c r="C89" s="26"/>
      <c r="D89" s="26"/>
      <c r="E89" s="26"/>
      <c r="F89" s="26"/>
      <c r="L89" s="26">
        <v>86</v>
      </c>
      <c r="M89" t="s">
        <v>234</v>
      </c>
      <c r="N89" s="1" t="str">
        <f t="shared" si="6"/>
        <v/>
      </c>
      <c r="O89" s="31"/>
      <c r="P89" s="34" t="str">
        <f t="shared" si="7"/>
        <v/>
      </c>
      <c r="R89" t="s">
        <v>234</v>
      </c>
      <c r="S89" s="1" t="str">
        <f t="shared" si="9"/>
        <v/>
      </c>
      <c r="T89" s="1"/>
      <c r="U89" s="35" t="str">
        <f t="shared" si="8"/>
        <v/>
      </c>
    </row>
    <row r="90" spans="1:21" x14ac:dyDescent="0.25">
      <c r="A90" s="26"/>
      <c r="B90" s="26"/>
      <c r="C90" s="26"/>
      <c r="D90" s="26"/>
      <c r="E90" s="26"/>
      <c r="F90" s="26"/>
      <c r="L90" s="26">
        <v>87</v>
      </c>
      <c r="M90" t="s">
        <v>233</v>
      </c>
      <c r="N90" s="1" t="str">
        <f t="shared" si="6"/>
        <v/>
      </c>
      <c r="O90" s="31"/>
      <c r="P90" s="34" t="str">
        <f t="shared" si="7"/>
        <v/>
      </c>
      <c r="R90" t="s">
        <v>233</v>
      </c>
      <c r="S90" s="1" t="str">
        <f t="shared" si="9"/>
        <v/>
      </c>
      <c r="T90" s="1"/>
      <c r="U90" s="35" t="str">
        <f t="shared" si="8"/>
        <v/>
      </c>
    </row>
    <row r="91" spans="1:21" x14ac:dyDescent="0.25">
      <c r="A91" s="26"/>
      <c r="B91" s="26"/>
      <c r="C91" s="26"/>
      <c r="D91" s="26"/>
      <c r="E91" s="26"/>
      <c r="F91" s="26"/>
      <c r="L91" s="26">
        <v>88</v>
      </c>
      <c r="M91" t="s">
        <v>232</v>
      </c>
      <c r="N91" s="1" t="str">
        <f t="shared" si="6"/>
        <v/>
      </c>
      <c r="O91" s="31"/>
      <c r="P91" s="34" t="str">
        <f t="shared" si="7"/>
        <v/>
      </c>
      <c r="R91" t="s">
        <v>232</v>
      </c>
      <c r="S91" s="1" t="str">
        <f t="shared" si="9"/>
        <v/>
      </c>
      <c r="T91" s="1"/>
      <c r="U91" s="35" t="str">
        <f t="shared" si="8"/>
        <v/>
      </c>
    </row>
    <row r="92" spans="1:21" x14ac:dyDescent="0.25">
      <c r="A92" s="26"/>
      <c r="B92" s="26"/>
      <c r="C92" s="26"/>
      <c r="D92" s="26"/>
      <c r="E92" s="26"/>
      <c r="F92" s="26"/>
      <c r="L92" s="26">
        <v>89</v>
      </c>
      <c r="M92" t="s">
        <v>231</v>
      </c>
      <c r="N92" s="1" t="str">
        <f t="shared" si="6"/>
        <v/>
      </c>
      <c r="O92" s="31"/>
      <c r="P92" s="34" t="str">
        <f t="shared" si="7"/>
        <v/>
      </c>
      <c r="R92" t="s">
        <v>231</v>
      </c>
      <c r="S92" s="1" t="str">
        <f t="shared" si="9"/>
        <v/>
      </c>
      <c r="T92" s="1"/>
      <c r="U92" s="35" t="str">
        <f t="shared" si="8"/>
        <v/>
      </c>
    </row>
    <row r="93" spans="1:21" x14ac:dyDescent="0.25">
      <c r="A93" s="26"/>
      <c r="B93" s="26"/>
      <c r="C93" s="26"/>
      <c r="D93" s="26"/>
      <c r="E93" s="26"/>
      <c r="F93" s="26"/>
      <c r="L93" s="26">
        <v>90</v>
      </c>
      <c r="M93" t="s">
        <v>230</v>
      </c>
      <c r="N93" s="1" t="str">
        <f t="shared" si="6"/>
        <v/>
      </c>
      <c r="O93" s="31"/>
      <c r="P93" s="34" t="str">
        <f t="shared" si="7"/>
        <v/>
      </c>
      <c r="R93" t="s">
        <v>230</v>
      </c>
      <c r="S93" s="1" t="str">
        <f t="shared" si="9"/>
        <v/>
      </c>
      <c r="T93" s="1"/>
      <c r="U93" s="35" t="str">
        <f t="shared" si="8"/>
        <v/>
      </c>
    </row>
    <row r="94" spans="1:21" x14ac:dyDescent="0.25">
      <c r="A94" s="26"/>
      <c r="B94" s="26"/>
      <c r="C94" s="26"/>
      <c r="D94" s="26"/>
      <c r="E94" s="26"/>
      <c r="F94" s="26"/>
      <c r="L94" s="26">
        <v>91</v>
      </c>
      <c r="M94" t="s">
        <v>229</v>
      </c>
      <c r="N94" s="1" t="str">
        <f t="shared" si="6"/>
        <v/>
      </c>
      <c r="O94" s="31"/>
      <c r="P94" s="34" t="str">
        <f t="shared" si="7"/>
        <v/>
      </c>
      <c r="R94" t="s">
        <v>229</v>
      </c>
      <c r="S94" s="1" t="str">
        <f t="shared" si="9"/>
        <v/>
      </c>
      <c r="T94" s="1"/>
      <c r="U94" s="35" t="str">
        <f t="shared" si="8"/>
        <v/>
      </c>
    </row>
    <row r="95" spans="1:21" x14ac:dyDescent="0.25">
      <c r="A95" s="26"/>
      <c r="B95" s="26"/>
      <c r="C95" s="26"/>
      <c r="D95" s="26"/>
      <c r="E95" s="26"/>
      <c r="F95" s="26"/>
      <c r="L95" s="26">
        <v>92</v>
      </c>
      <c r="M95" t="s">
        <v>228</v>
      </c>
      <c r="N95" s="1" t="str">
        <f t="shared" si="6"/>
        <v/>
      </c>
      <c r="O95" s="31"/>
      <c r="P95" s="34" t="str">
        <f t="shared" si="7"/>
        <v/>
      </c>
      <c r="R95" t="s">
        <v>228</v>
      </c>
      <c r="S95" s="1" t="str">
        <f t="shared" si="9"/>
        <v/>
      </c>
      <c r="T95" s="1"/>
      <c r="U95" s="35" t="str">
        <f t="shared" si="8"/>
        <v/>
      </c>
    </row>
    <row r="96" spans="1:21" x14ac:dyDescent="0.25">
      <c r="L96" s="26">
        <v>93</v>
      </c>
      <c r="M96" t="s">
        <v>227</v>
      </c>
      <c r="N96" s="1" t="str">
        <f t="shared" si="6"/>
        <v/>
      </c>
      <c r="O96" s="31"/>
      <c r="P96" s="34" t="str">
        <f t="shared" si="7"/>
        <v/>
      </c>
      <c r="R96" t="s">
        <v>227</v>
      </c>
      <c r="S96" s="1" t="str">
        <f t="shared" si="9"/>
        <v/>
      </c>
      <c r="T96" s="1"/>
      <c r="U96" s="35" t="str">
        <f t="shared" si="8"/>
        <v/>
      </c>
    </row>
    <row r="97" spans="12:21" x14ac:dyDescent="0.25">
      <c r="L97" s="26">
        <v>94</v>
      </c>
      <c r="M97" t="s">
        <v>226</v>
      </c>
      <c r="N97" s="1" t="str">
        <f t="shared" si="6"/>
        <v/>
      </c>
      <c r="O97" s="31"/>
      <c r="P97" s="34" t="str">
        <f t="shared" si="7"/>
        <v/>
      </c>
      <c r="R97" t="s">
        <v>226</v>
      </c>
      <c r="S97" s="1" t="str">
        <f t="shared" si="9"/>
        <v/>
      </c>
      <c r="T97" s="1"/>
      <c r="U97" s="35" t="str">
        <f t="shared" si="8"/>
        <v/>
      </c>
    </row>
    <row r="98" spans="12:21" x14ac:dyDescent="0.25">
      <c r="L98" s="26">
        <v>95</v>
      </c>
      <c r="M98" t="s">
        <v>225</v>
      </c>
      <c r="N98" s="1" t="str">
        <f t="shared" si="6"/>
        <v/>
      </c>
      <c r="O98" s="31"/>
      <c r="P98" s="34" t="str">
        <f t="shared" si="7"/>
        <v/>
      </c>
      <c r="R98" t="s">
        <v>225</v>
      </c>
      <c r="S98" s="1" t="str">
        <f t="shared" si="9"/>
        <v/>
      </c>
      <c r="T98" s="1"/>
      <c r="U98" s="35" t="str">
        <f t="shared" si="8"/>
        <v/>
      </c>
    </row>
    <row r="99" spans="12:21" x14ac:dyDescent="0.25">
      <c r="L99" s="26">
        <v>96</v>
      </c>
      <c r="M99" t="s">
        <v>224</v>
      </c>
      <c r="N99" s="1" t="str">
        <f t="shared" si="6"/>
        <v/>
      </c>
      <c r="O99" s="31"/>
      <c r="P99" s="34" t="str">
        <f t="shared" si="7"/>
        <v/>
      </c>
      <c r="R99" t="s">
        <v>224</v>
      </c>
      <c r="S99" s="1" t="str">
        <f t="shared" si="9"/>
        <v/>
      </c>
      <c r="T99" s="1"/>
      <c r="U99" s="35" t="str">
        <f t="shared" si="8"/>
        <v/>
      </c>
    </row>
    <row r="100" spans="12:21" x14ac:dyDescent="0.25">
      <c r="L100" s="26">
        <v>97</v>
      </c>
      <c r="M100" t="s">
        <v>223</v>
      </c>
      <c r="N100" s="1" t="str">
        <f t="shared" si="6"/>
        <v/>
      </c>
      <c r="O100" s="31"/>
      <c r="P100" s="34" t="str">
        <f t="shared" si="7"/>
        <v/>
      </c>
      <c r="R100" t="s">
        <v>223</v>
      </c>
      <c r="S100" s="1" t="str">
        <f t="shared" si="9"/>
        <v/>
      </c>
      <c r="T100" s="1"/>
      <c r="U100" s="35" t="str">
        <f t="shared" si="8"/>
        <v/>
      </c>
    </row>
    <row r="101" spans="12:21" x14ac:dyDescent="0.25">
      <c r="L101" s="26">
        <v>98</v>
      </c>
      <c r="M101" t="s">
        <v>222</v>
      </c>
      <c r="N101" s="1" t="str">
        <f t="shared" si="6"/>
        <v/>
      </c>
      <c r="O101" s="31"/>
      <c r="P101" s="34" t="str">
        <f t="shared" si="7"/>
        <v/>
      </c>
      <c r="R101" t="s">
        <v>222</v>
      </c>
      <c r="S101" s="1" t="str">
        <f t="shared" si="9"/>
        <v/>
      </c>
      <c r="T101" s="1"/>
      <c r="U101" s="35" t="str">
        <f t="shared" si="8"/>
        <v/>
      </c>
    </row>
    <row r="102" spans="12:21" x14ac:dyDescent="0.25">
      <c r="L102" s="26">
        <v>99</v>
      </c>
      <c r="M102" t="s">
        <v>221</v>
      </c>
      <c r="N102" s="1" t="str">
        <f t="shared" si="6"/>
        <v/>
      </c>
      <c r="O102" s="31"/>
      <c r="P102" s="34" t="str">
        <f t="shared" si="7"/>
        <v/>
      </c>
      <c r="R102" t="s">
        <v>221</v>
      </c>
      <c r="S102" s="1" t="str">
        <f t="shared" si="9"/>
        <v/>
      </c>
      <c r="T102" s="1"/>
      <c r="U102" s="35" t="str">
        <f t="shared" si="8"/>
        <v/>
      </c>
    </row>
    <row r="103" spans="12:21" x14ac:dyDescent="0.25">
      <c r="L103" s="26">
        <v>100</v>
      </c>
      <c r="M103" t="s">
        <v>220</v>
      </c>
      <c r="N103" s="1" t="str">
        <f t="shared" si="6"/>
        <v/>
      </c>
      <c r="O103" s="31"/>
      <c r="P103" s="34" t="str">
        <f t="shared" si="7"/>
        <v/>
      </c>
      <c r="R103" t="s">
        <v>220</v>
      </c>
      <c r="S103" s="1" t="str">
        <f t="shared" si="9"/>
        <v/>
      </c>
      <c r="T103" s="1"/>
      <c r="U103" s="35" t="str">
        <f t="shared" si="8"/>
        <v/>
      </c>
    </row>
    <row r="104" spans="12:21" x14ac:dyDescent="0.25">
      <c r="L104" s="26">
        <v>101</v>
      </c>
      <c r="M104" t="s">
        <v>219</v>
      </c>
      <c r="N104" s="1" t="str">
        <f t="shared" si="6"/>
        <v/>
      </c>
      <c r="O104" s="31"/>
      <c r="P104" s="34" t="str">
        <f t="shared" si="7"/>
        <v/>
      </c>
      <c r="R104" t="s">
        <v>219</v>
      </c>
      <c r="S104" s="1" t="str">
        <f t="shared" si="9"/>
        <v/>
      </c>
      <c r="T104" s="1"/>
      <c r="U104" s="35" t="str">
        <f t="shared" si="8"/>
        <v/>
      </c>
    </row>
    <row r="105" spans="12:21" x14ac:dyDescent="0.25">
      <c r="L105" s="26">
        <v>102</v>
      </c>
      <c r="M105" t="s">
        <v>218</v>
      </c>
      <c r="N105" s="1" t="str">
        <f t="shared" si="6"/>
        <v/>
      </c>
      <c r="O105" s="31"/>
      <c r="P105" s="34" t="str">
        <f t="shared" si="7"/>
        <v/>
      </c>
      <c r="R105" t="s">
        <v>218</v>
      </c>
      <c r="S105" s="1" t="str">
        <f t="shared" si="9"/>
        <v/>
      </c>
      <c r="T105" s="1"/>
      <c r="U105" s="35" t="str">
        <f t="shared" si="8"/>
        <v/>
      </c>
    </row>
    <row r="106" spans="12:21" x14ac:dyDescent="0.25">
      <c r="L106" s="26">
        <v>103</v>
      </c>
      <c r="M106" t="s">
        <v>217</v>
      </c>
      <c r="N106" s="1" t="str">
        <f t="shared" si="6"/>
        <v/>
      </c>
      <c r="O106" s="31"/>
      <c r="P106" s="34" t="str">
        <f t="shared" si="7"/>
        <v/>
      </c>
      <c r="R106" t="s">
        <v>217</v>
      </c>
      <c r="S106" s="1" t="str">
        <f t="shared" si="9"/>
        <v/>
      </c>
      <c r="T106" s="1"/>
      <c r="U106" s="35" t="str">
        <f t="shared" si="8"/>
        <v/>
      </c>
    </row>
    <row r="107" spans="12:21" x14ac:dyDescent="0.25">
      <c r="L107" s="26">
        <v>104</v>
      </c>
      <c r="M107" t="s">
        <v>216</v>
      </c>
      <c r="N107" s="1" t="str">
        <f t="shared" si="6"/>
        <v/>
      </c>
      <c r="O107" s="31"/>
      <c r="P107" s="34" t="str">
        <f t="shared" si="7"/>
        <v/>
      </c>
      <c r="R107" t="s">
        <v>216</v>
      </c>
      <c r="S107" s="1" t="str">
        <f t="shared" si="9"/>
        <v/>
      </c>
      <c r="T107" s="1"/>
      <c r="U107" s="35" t="str">
        <f t="shared" si="8"/>
        <v/>
      </c>
    </row>
    <row r="108" spans="12:21" x14ac:dyDescent="0.25">
      <c r="L108" s="26">
        <v>105</v>
      </c>
      <c r="M108" t="s">
        <v>215</v>
      </c>
      <c r="N108" s="1" t="str">
        <f t="shared" si="6"/>
        <v/>
      </c>
      <c r="O108" s="31"/>
      <c r="P108" s="34" t="str">
        <f t="shared" si="7"/>
        <v/>
      </c>
      <c r="R108" t="s">
        <v>215</v>
      </c>
      <c r="S108" s="1" t="str">
        <f t="shared" si="9"/>
        <v/>
      </c>
      <c r="T108" s="1"/>
      <c r="U108" s="35" t="str">
        <f t="shared" si="8"/>
        <v/>
      </c>
    </row>
    <row r="109" spans="12:21" x14ac:dyDescent="0.25">
      <c r="L109" s="26">
        <v>106</v>
      </c>
      <c r="M109" t="s">
        <v>214</v>
      </c>
      <c r="N109" s="1" t="str">
        <f t="shared" si="6"/>
        <v/>
      </c>
      <c r="O109" s="31"/>
      <c r="P109" s="34" t="str">
        <f t="shared" si="7"/>
        <v/>
      </c>
      <c r="R109" t="s">
        <v>214</v>
      </c>
      <c r="S109" s="1" t="str">
        <f t="shared" si="9"/>
        <v/>
      </c>
      <c r="T109" s="1"/>
      <c r="U109" s="35" t="str">
        <f t="shared" si="8"/>
        <v/>
      </c>
    </row>
    <row r="110" spans="12:21" x14ac:dyDescent="0.25">
      <c r="L110" s="26">
        <v>107</v>
      </c>
      <c r="M110" t="s">
        <v>213</v>
      </c>
      <c r="N110" s="1" t="str">
        <f t="shared" si="6"/>
        <v/>
      </c>
      <c r="O110" s="31"/>
      <c r="P110" s="34" t="str">
        <f t="shared" si="7"/>
        <v/>
      </c>
      <c r="R110" t="s">
        <v>213</v>
      </c>
      <c r="S110" s="1" t="str">
        <f t="shared" si="9"/>
        <v/>
      </c>
      <c r="T110" s="1"/>
      <c r="U110" s="35" t="str">
        <f t="shared" si="8"/>
        <v/>
      </c>
    </row>
    <row r="111" spans="12:21" x14ac:dyDescent="0.25">
      <c r="L111" s="26">
        <v>108</v>
      </c>
      <c r="M111" t="s">
        <v>212</v>
      </c>
      <c r="N111" s="1" t="str">
        <f t="shared" si="6"/>
        <v/>
      </c>
      <c r="O111" s="31"/>
      <c r="P111" s="34" t="str">
        <f t="shared" si="7"/>
        <v/>
      </c>
      <c r="R111" t="s">
        <v>212</v>
      </c>
      <c r="S111" s="1" t="str">
        <f t="shared" si="9"/>
        <v/>
      </c>
      <c r="T111" s="1"/>
      <c r="U111" s="35" t="str">
        <f t="shared" si="8"/>
        <v/>
      </c>
    </row>
    <row r="112" spans="12:21" x14ac:dyDescent="0.25">
      <c r="L112" s="26">
        <v>109</v>
      </c>
      <c r="M112" t="s">
        <v>211</v>
      </c>
      <c r="N112" s="1" t="str">
        <f t="shared" si="6"/>
        <v/>
      </c>
      <c r="O112" s="31"/>
      <c r="P112" s="34" t="str">
        <f t="shared" si="7"/>
        <v/>
      </c>
      <c r="R112" t="s">
        <v>211</v>
      </c>
      <c r="S112" s="1" t="str">
        <f t="shared" si="9"/>
        <v/>
      </c>
      <c r="T112" s="1"/>
      <c r="U112" s="35" t="str">
        <f t="shared" si="8"/>
        <v/>
      </c>
    </row>
    <row r="113" spans="12:21" x14ac:dyDescent="0.25">
      <c r="L113" s="26">
        <v>110</v>
      </c>
      <c r="M113" t="s">
        <v>210</v>
      </c>
      <c r="N113" s="1" t="str">
        <f t="shared" si="6"/>
        <v/>
      </c>
      <c r="O113" s="31"/>
      <c r="P113" s="34" t="str">
        <f t="shared" si="7"/>
        <v/>
      </c>
      <c r="R113" t="s">
        <v>210</v>
      </c>
      <c r="S113" s="1" t="str">
        <f t="shared" si="9"/>
        <v/>
      </c>
      <c r="T113" s="1"/>
      <c r="U113" s="35" t="str">
        <f t="shared" si="8"/>
        <v/>
      </c>
    </row>
    <row r="114" spans="12:21" x14ac:dyDescent="0.25">
      <c r="L114" s="26">
        <v>111</v>
      </c>
      <c r="M114" t="s">
        <v>209</v>
      </c>
      <c r="N114" s="1" t="str">
        <f t="shared" si="6"/>
        <v/>
      </c>
      <c r="O114" s="31"/>
      <c r="P114" s="34" t="str">
        <f t="shared" si="7"/>
        <v/>
      </c>
      <c r="R114" t="s">
        <v>209</v>
      </c>
      <c r="S114" s="1" t="str">
        <f t="shared" si="9"/>
        <v/>
      </c>
      <c r="T114" s="1"/>
      <c r="U114" s="35" t="str">
        <f t="shared" si="8"/>
        <v/>
      </c>
    </row>
    <row r="115" spans="12:21" x14ac:dyDescent="0.25">
      <c r="L115" s="26">
        <v>112</v>
      </c>
      <c r="M115" t="s">
        <v>208</v>
      </c>
      <c r="N115" s="1" t="str">
        <f t="shared" si="6"/>
        <v/>
      </c>
      <c r="O115" s="31"/>
      <c r="P115" s="34" t="str">
        <f t="shared" si="7"/>
        <v/>
      </c>
      <c r="R115" t="s">
        <v>208</v>
      </c>
      <c r="S115" s="1" t="str">
        <f t="shared" si="9"/>
        <v/>
      </c>
      <c r="T115" s="1"/>
      <c r="U115" s="35" t="str">
        <f t="shared" si="8"/>
        <v/>
      </c>
    </row>
    <row r="116" spans="12:21" x14ac:dyDescent="0.25">
      <c r="L116" s="26">
        <v>113</v>
      </c>
      <c r="M116" t="s">
        <v>207</v>
      </c>
      <c r="N116" s="1" t="str">
        <f t="shared" si="6"/>
        <v/>
      </c>
      <c r="O116" s="31"/>
      <c r="P116" s="34" t="str">
        <f t="shared" si="7"/>
        <v/>
      </c>
      <c r="R116" t="s">
        <v>207</v>
      </c>
      <c r="S116" s="1" t="str">
        <f t="shared" si="9"/>
        <v/>
      </c>
      <c r="T116" s="1"/>
      <c r="U116" s="35" t="str">
        <f t="shared" si="8"/>
        <v/>
      </c>
    </row>
    <row r="117" spans="12:21" x14ac:dyDescent="0.25">
      <c r="L117" s="26">
        <v>114</v>
      </c>
      <c r="M117" t="s">
        <v>206</v>
      </c>
      <c r="N117" s="1" t="str">
        <f t="shared" si="6"/>
        <v/>
      </c>
      <c r="O117" s="31"/>
      <c r="P117" s="34" t="str">
        <f t="shared" si="7"/>
        <v/>
      </c>
      <c r="R117" t="s">
        <v>206</v>
      </c>
      <c r="S117" s="1" t="str">
        <f t="shared" si="9"/>
        <v/>
      </c>
      <c r="T117" s="1"/>
      <c r="U117" s="35" t="str">
        <f t="shared" si="8"/>
        <v/>
      </c>
    </row>
    <row r="118" spans="12:21" x14ac:dyDescent="0.25">
      <c r="L118" s="26">
        <v>115</v>
      </c>
      <c r="M118" t="s">
        <v>205</v>
      </c>
      <c r="N118" s="1" t="str">
        <f t="shared" si="6"/>
        <v/>
      </c>
      <c r="O118" s="31"/>
      <c r="P118" s="34" t="str">
        <f t="shared" si="7"/>
        <v/>
      </c>
      <c r="R118" t="s">
        <v>205</v>
      </c>
      <c r="S118" s="1" t="str">
        <f t="shared" si="9"/>
        <v/>
      </c>
      <c r="T118" s="1"/>
      <c r="U118" s="35" t="str">
        <f t="shared" si="8"/>
        <v/>
      </c>
    </row>
    <row r="119" spans="12:21" x14ac:dyDescent="0.25">
      <c r="L119" s="26">
        <v>116</v>
      </c>
      <c r="M119" t="s">
        <v>204</v>
      </c>
      <c r="N119" s="1" t="str">
        <f t="shared" si="6"/>
        <v/>
      </c>
      <c r="O119" s="31"/>
      <c r="P119" s="34" t="str">
        <f t="shared" si="7"/>
        <v/>
      </c>
      <c r="R119" t="s">
        <v>204</v>
      </c>
      <c r="S119" s="1" t="str">
        <f t="shared" si="9"/>
        <v/>
      </c>
      <c r="T119" s="1"/>
      <c r="U119" s="35" t="str">
        <f t="shared" si="8"/>
        <v/>
      </c>
    </row>
    <row r="120" spans="12:21" x14ac:dyDescent="0.25">
      <c r="L120" s="26">
        <v>117</v>
      </c>
      <c r="M120" t="s">
        <v>203</v>
      </c>
      <c r="N120" s="1" t="str">
        <f t="shared" si="6"/>
        <v/>
      </c>
      <c r="O120" s="31"/>
      <c r="P120" s="34" t="str">
        <f t="shared" si="7"/>
        <v/>
      </c>
      <c r="R120" t="s">
        <v>203</v>
      </c>
      <c r="S120" s="1" t="str">
        <f t="shared" si="9"/>
        <v/>
      </c>
      <c r="T120" s="1"/>
      <c r="U120" s="35" t="str">
        <f t="shared" si="8"/>
        <v/>
      </c>
    </row>
    <row r="121" spans="12:21" x14ac:dyDescent="0.25">
      <c r="L121" s="26">
        <v>118</v>
      </c>
      <c r="M121" t="s">
        <v>202</v>
      </c>
      <c r="N121" s="1" t="str">
        <f t="shared" si="6"/>
        <v/>
      </c>
      <c r="O121" s="31"/>
      <c r="P121" s="34" t="str">
        <f t="shared" si="7"/>
        <v/>
      </c>
      <c r="R121" t="s">
        <v>202</v>
      </c>
      <c r="S121" s="1" t="str">
        <f t="shared" si="9"/>
        <v/>
      </c>
      <c r="T121" s="1"/>
      <c r="U121" s="35" t="str">
        <f t="shared" si="8"/>
        <v/>
      </c>
    </row>
    <row r="122" spans="12:21" x14ac:dyDescent="0.25">
      <c r="L122" s="26">
        <v>119</v>
      </c>
      <c r="M122" t="s">
        <v>201</v>
      </c>
      <c r="N122" s="1" t="str">
        <f t="shared" si="6"/>
        <v/>
      </c>
      <c r="O122" s="31"/>
      <c r="P122" s="34" t="str">
        <f t="shared" si="7"/>
        <v/>
      </c>
      <c r="R122" t="s">
        <v>201</v>
      </c>
      <c r="S122" s="1" t="str">
        <f t="shared" si="9"/>
        <v/>
      </c>
      <c r="T122" s="1"/>
      <c r="U122" s="35" t="str">
        <f t="shared" si="8"/>
        <v/>
      </c>
    </row>
    <row r="123" spans="12:21" x14ac:dyDescent="0.25">
      <c r="L123" s="26">
        <v>120</v>
      </c>
      <c r="M123" t="s">
        <v>200</v>
      </c>
      <c r="N123" s="1" t="str">
        <f t="shared" si="6"/>
        <v/>
      </c>
      <c r="O123" s="31"/>
      <c r="P123" s="34" t="str">
        <f t="shared" si="7"/>
        <v/>
      </c>
      <c r="R123" t="s">
        <v>200</v>
      </c>
      <c r="S123" s="1" t="str">
        <f t="shared" si="9"/>
        <v/>
      </c>
      <c r="T123" s="1"/>
      <c r="U123" s="35" t="str">
        <f t="shared" si="8"/>
        <v/>
      </c>
    </row>
    <row r="124" spans="12:21" x14ac:dyDescent="0.25">
      <c r="L124" s="26">
        <v>121</v>
      </c>
      <c r="M124" t="s">
        <v>199</v>
      </c>
      <c r="N124" s="1" t="str">
        <f t="shared" si="6"/>
        <v/>
      </c>
      <c r="O124" s="31"/>
      <c r="P124" s="34" t="str">
        <f t="shared" si="7"/>
        <v/>
      </c>
      <c r="R124" t="s">
        <v>199</v>
      </c>
      <c r="S124" s="1" t="str">
        <f t="shared" si="9"/>
        <v/>
      </c>
      <c r="T124" s="1"/>
      <c r="U124" s="35" t="str">
        <f t="shared" si="8"/>
        <v/>
      </c>
    </row>
    <row r="125" spans="12:21" x14ac:dyDescent="0.25">
      <c r="L125" s="26">
        <v>122</v>
      </c>
      <c r="M125" t="s">
        <v>198</v>
      </c>
      <c r="N125" s="1" t="str">
        <f t="shared" si="6"/>
        <v/>
      </c>
      <c r="O125" s="31"/>
      <c r="P125" s="34" t="str">
        <f t="shared" si="7"/>
        <v/>
      </c>
      <c r="R125" t="s">
        <v>198</v>
      </c>
      <c r="S125" s="1" t="str">
        <f t="shared" si="9"/>
        <v/>
      </c>
      <c r="T125" s="1"/>
      <c r="U125" s="35" t="str">
        <f t="shared" si="8"/>
        <v/>
      </c>
    </row>
    <row r="126" spans="12:21" x14ac:dyDescent="0.25">
      <c r="L126" s="26">
        <v>123</v>
      </c>
      <c r="M126" t="s">
        <v>197</v>
      </c>
      <c r="N126" s="1" t="str">
        <f t="shared" si="6"/>
        <v/>
      </c>
      <c r="O126" s="31"/>
      <c r="P126" s="34" t="str">
        <f t="shared" si="7"/>
        <v/>
      </c>
      <c r="R126" t="s">
        <v>197</v>
      </c>
      <c r="S126" s="1" t="str">
        <f t="shared" si="9"/>
        <v/>
      </c>
      <c r="T126" s="1"/>
      <c r="U126" s="35" t="str">
        <f t="shared" si="8"/>
        <v/>
      </c>
    </row>
    <row r="127" spans="12:21" x14ac:dyDescent="0.25">
      <c r="L127" s="26">
        <v>124</v>
      </c>
      <c r="M127" t="s">
        <v>196</v>
      </c>
      <c r="N127" s="1" t="str">
        <f t="shared" si="6"/>
        <v/>
      </c>
      <c r="O127" s="31"/>
      <c r="P127" s="34" t="str">
        <f t="shared" si="7"/>
        <v/>
      </c>
      <c r="R127" t="s">
        <v>196</v>
      </c>
      <c r="S127" s="1" t="str">
        <f t="shared" si="9"/>
        <v/>
      </c>
      <c r="T127" s="1"/>
      <c r="U127" s="35" t="str">
        <f t="shared" si="8"/>
        <v/>
      </c>
    </row>
    <row r="128" spans="12:21" x14ac:dyDescent="0.25">
      <c r="L128" s="26">
        <v>125</v>
      </c>
      <c r="M128" t="s">
        <v>195</v>
      </c>
      <c r="N128" s="1" t="str">
        <f t="shared" si="6"/>
        <v/>
      </c>
      <c r="O128" s="31"/>
      <c r="P128" s="34" t="str">
        <f t="shared" si="7"/>
        <v/>
      </c>
      <c r="R128" t="s">
        <v>195</v>
      </c>
      <c r="S128" s="1" t="str">
        <f t="shared" si="9"/>
        <v/>
      </c>
      <c r="T128" s="1"/>
      <c r="U128" s="35" t="str">
        <f t="shared" si="8"/>
        <v/>
      </c>
    </row>
    <row r="129" spans="12:21" x14ac:dyDescent="0.25">
      <c r="L129" s="26">
        <v>126</v>
      </c>
      <c r="M129" t="s">
        <v>194</v>
      </c>
      <c r="N129" s="1" t="str">
        <f t="shared" si="6"/>
        <v/>
      </c>
      <c r="O129" s="31"/>
      <c r="P129" s="34" t="str">
        <f t="shared" si="7"/>
        <v/>
      </c>
      <c r="R129" t="s">
        <v>194</v>
      </c>
      <c r="S129" s="1" t="str">
        <f t="shared" si="9"/>
        <v/>
      </c>
      <c r="T129" s="1"/>
      <c r="U129" s="35" t="str">
        <f t="shared" si="8"/>
        <v/>
      </c>
    </row>
    <row r="130" spans="12:21" x14ac:dyDescent="0.25">
      <c r="L130" s="26">
        <v>127</v>
      </c>
      <c r="M130" t="s">
        <v>193</v>
      </c>
      <c r="N130" s="1" t="str">
        <f t="shared" si="6"/>
        <v/>
      </c>
      <c r="O130" s="31"/>
      <c r="P130" s="34" t="str">
        <f t="shared" si="7"/>
        <v/>
      </c>
      <c r="R130" t="s">
        <v>193</v>
      </c>
      <c r="S130" s="1" t="str">
        <f t="shared" si="9"/>
        <v/>
      </c>
      <c r="T130" s="1"/>
      <c r="U130" s="35" t="str">
        <f t="shared" si="8"/>
        <v/>
      </c>
    </row>
    <row r="131" spans="12:21" x14ac:dyDescent="0.25">
      <c r="L131" s="26">
        <v>128</v>
      </c>
      <c r="M131" t="s">
        <v>192</v>
      </c>
      <c r="N131" s="1" t="str">
        <f t="shared" si="6"/>
        <v/>
      </c>
      <c r="O131" s="31"/>
      <c r="P131" s="34" t="str">
        <f t="shared" si="7"/>
        <v/>
      </c>
      <c r="R131" t="s">
        <v>192</v>
      </c>
      <c r="S131" s="1" t="str">
        <f t="shared" si="9"/>
        <v/>
      </c>
      <c r="T131" s="1"/>
      <c r="U131" s="35" t="str">
        <f t="shared" si="8"/>
        <v/>
      </c>
    </row>
    <row r="132" spans="12:21" x14ac:dyDescent="0.25">
      <c r="L132" s="26">
        <v>129</v>
      </c>
      <c r="M132" t="s">
        <v>191</v>
      </c>
      <c r="N132" s="1" t="str">
        <f t="shared" si="6"/>
        <v/>
      </c>
      <c r="O132" s="31"/>
      <c r="P132" s="34" t="str">
        <f t="shared" si="7"/>
        <v/>
      </c>
      <c r="R132" t="s">
        <v>191</v>
      </c>
      <c r="S132" s="1" t="str">
        <f t="shared" si="9"/>
        <v/>
      </c>
      <c r="T132" s="1"/>
      <c r="U132" s="35" t="str">
        <f t="shared" si="8"/>
        <v/>
      </c>
    </row>
    <row r="133" spans="12:21" x14ac:dyDescent="0.25">
      <c r="L133" s="26">
        <v>130</v>
      </c>
      <c r="M133" t="s">
        <v>190</v>
      </c>
      <c r="N133" s="1" t="str">
        <f t="shared" ref="N133:N196" si="10">IF(L133&gt;$I$2,"",F133/$D$3-1)</f>
        <v/>
      </c>
      <c r="O133" s="31"/>
      <c r="P133" s="34" t="str">
        <f t="shared" ref="P133:P196" si="11">IF(AND(L133&lt;=$I$2,N133&lt;= -0.1),1,"")</f>
        <v/>
      </c>
      <c r="R133" t="s">
        <v>190</v>
      </c>
      <c r="S133" s="1" t="str">
        <f t="shared" si="9"/>
        <v/>
      </c>
      <c r="T133" s="1"/>
      <c r="U133" s="35" t="str">
        <f t="shared" ref="U133:U196" si="12">IF(AND(L133&lt;=$I$2,S133&gt;=0.2),1,"")</f>
        <v/>
      </c>
    </row>
    <row r="134" spans="12:21" x14ac:dyDescent="0.25">
      <c r="L134" s="26">
        <v>131</v>
      </c>
      <c r="M134" t="s">
        <v>189</v>
      </c>
      <c r="N134" s="1" t="str">
        <f t="shared" si="10"/>
        <v/>
      </c>
      <c r="O134" s="31"/>
      <c r="P134" s="34" t="str">
        <f t="shared" si="11"/>
        <v/>
      </c>
      <c r="R134" t="s">
        <v>189</v>
      </c>
      <c r="S134" s="1" t="str">
        <f t="shared" si="9"/>
        <v/>
      </c>
      <c r="T134" s="1"/>
      <c r="U134" s="35" t="str">
        <f t="shared" si="12"/>
        <v/>
      </c>
    </row>
    <row r="135" spans="12:21" x14ac:dyDescent="0.25">
      <c r="L135" s="26">
        <v>132</v>
      </c>
      <c r="M135" t="s">
        <v>188</v>
      </c>
      <c r="N135" s="1" t="str">
        <f t="shared" si="10"/>
        <v/>
      </c>
      <c r="O135" s="31"/>
      <c r="P135" s="34" t="str">
        <f t="shared" si="11"/>
        <v/>
      </c>
      <c r="R135" t="s">
        <v>188</v>
      </c>
      <c r="S135" s="1" t="str">
        <f t="shared" si="9"/>
        <v/>
      </c>
      <c r="T135" s="1"/>
      <c r="U135" s="35" t="str">
        <f t="shared" si="12"/>
        <v/>
      </c>
    </row>
    <row r="136" spans="12:21" x14ac:dyDescent="0.25">
      <c r="L136" s="26">
        <v>133</v>
      </c>
      <c r="M136" t="s">
        <v>187</v>
      </c>
      <c r="N136" s="1" t="str">
        <f t="shared" si="10"/>
        <v/>
      </c>
      <c r="O136" s="31"/>
      <c r="P136" s="34" t="str">
        <f t="shared" si="11"/>
        <v/>
      </c>
      <c r="R136" t="s">
        <v>187</v>
      </c>
      <c r="S136" s="1" t="str">
        <f t="shared" si="9"/>
        <v/>
      </c>
      <c r="T136" s="1"/>
      <c r="U136" s="35" t="str">
        <f t="shared" si="12"/>
        <v/>
      </c>
    </row>
    <row r="137" spans="12:21" x14ac:dyDescent="0.25">
      <c r="L137" s="26">
        <v>134</v>
      </c>
      <c r="M137" t="s">
        <v>186</v>
      </c>
      <c r="N137" s="1" t="str">
        <f t="shared" si="10"/>
        <v/>
      </c>
      <c r="O137" s="31"/>
      <c r="P137" s="34" t="str">
        <f t="shared" si="11"/>
        <v/>
      </c>
      <c r="R137" t="s">
        <v>186</v>
      </c>
      <c r="S137" s="1" t="str">
        <f t="shared" si="9"/>
        <v/>
      </c>
      <c r="T137" s="1"/>
      <c r="U137" s="35" t="str">
        <f t="shared" si="12"/>
        <v/>
      </c>
    </row>
    <row r="138" spans="12:21" x14ac:dyDescent="0.25">
      <c r="L138" s="26">
        <v>135</v>
      </c>
      <c r="M138" t="s">
        <v>185</v>
      </c>
      <c r="N138" s="1" t="str">
        <f t="shared" si="10"/>
        <v/>
      </c>
      <c r="O138" s="31"/>
      <c r="P138" s="34" t="str">
        <f t="shared" si="11"/>
        <v/>
      </c>
      <c r="R138" t="s">
        <v>185</v>
      </c>
      <c r="S138" s="1" t="str">
        <f t="shared" si="9"/>
        <v/>
      </c>
      <c r="T138" s="1"/>
      <c r="U138" s="35" t="str">
        <f t="shared" si="12"/>
        <v/>
      </c>
    </row>
    <row r="139" spans="12:21" x14ac:dyDescent="0.25">
      <c r="L139" s="26">
        <v>136</v>
      </c>
      <c r="M139" t="s">
        <v>184</v>
      </c>
      <c r="N139" s="1" t="str">
        <f t="shared" si="10"/>
        <v/>
      </c>
      <c r="O139" s="31"/>
      <c r="P139" s="34" t="str">
        <f t="shared" si="11"/>
        <v/>
      </c>
      <c r="R139" t="s">
        <v>184</v>
      </c>
      <c r="S139" s="1" t="str">
        <f t="shared" si="9"/>
        <v/>
      </c>
      <c r="T139" s="1"/>
      <c r="U139" s="35" t="str">
        <f t="shared" si="12"/>
        <v/>
      </c>
    </row>
    <row r="140" spans="12:21" x14ac:dyDescent="0.25">
      <c r="L140" s="26">
        <v>137</v>
      </c>
      <c r="M140" t="s">
        <v>183</v>
      </c>
      <c r="N140" s="1" t="str">
        <f t="shared" si="10"/>
        <v/>
      </c>
      <c r="O140" s="31"/>
      <c r="P140" s="34" t="str">
        <f t="shared" si="11"/>
        <v/>
      </c>
      <c r="R140" t="s">
        <v>183</v>
      </c>
      <c r="S140" s="1" t="str">
        <f t="shared" si="9"/>
        <v/>
      </c>
      <c r="T140" s="1"/>
      <c r="U140" s="35" t="str">
        <f t="shared" si="12"/>
        <v/>
      </c>
    </row>
    <row r="141" spans="12:21" x14ac:dyDescent="0.25">
      <c r="L141" s="26">
        <v>138</v>
      </c>
      <c r="M141" t="s">
        <v>182</v>
      </c>
      <c r="N141" s="1" t="str">
        <f t="shared" si="10"/>
        <v/>
      </c>
      <c r="O141" s="31"/>
      <c r="P141" s="34" t="str">
        <f t="shared" si="11"/>
        <v/>
      </c>
      <c r="R141" t="s">
        <v>182</v>
      </c>
      <c r="S141" s="1" t="str">
        <f t="shared" si="9"/>
        <v/>
      </c>
      <c r="T141" s="1"/>
      <c r="U141" s="35" t="str">
        <f t="shared" si="12"/>
        <v/>
      </c>
    </row>
    <row r="142" spans="12:21" x14ac:dyDescent="0.25">
      <c r="L142" s="26">
        <v>139</v>
      </c>
      <c r="M142" t="s">
        <v>181</v>
      </c>
      <c r="N142" s="1" t="str">
        <f t="shared" si="10"/>
        <v/>
      </c>
      <c r="O142" s="31"/>
      <c r="P142" s="34" t="str">
        <f t="shared" si="11"/>
        <v/>
      </c>
      <c r="R142" t="s">
        <v>181</v>
      </c>
      <c r="S142" s="1" t="str">
        <f t="shared" si="9"/>
        <v/>
      </c>
      <c r="T142" s="1"/>
      <c r="U142" s="35" t="str">
        <f t="shared" si="12"/>
        <v/>
      </c>
    </row>
    <row r="143" spans="12:21" x14ac:dyDescent="0.25">
      <c r="L143" s="26">
        <v>140</v>
      </c>
      <c r="M143" t="s">
        <v>180</v>
      </c>
      <c r="N143" s="1" t="str">
        <f t="shared" si="10"/>
        <v/>
      </c>
      <c r="O143" s="31"/>
      <c r="P143" s="34" t="str">
        <f t="shared" si="11"/>
        <v/>
      </c>
      <c r="R143" t="s">
        <v>180</v>
      </c>
      <c r="S143" s="1" t="str">
        <f t="shared" si="9"/>
        <v/>
      </c>
      <c r="T143" s="1"/>
      <c r="U143" s="35" t="str">
        <f t="shared" si="12"/>
        <v/>
      </c>
    </row>
    <row r="144" spans="12:21" x14ac:dyDescent="0.25">
      <c r="L144" s="26">
        <v>141</v>
      </c>
      <c r="M144" t="s">
        <v>179</v>
      </c>
      <c r="N144" s="1" t="str">
        <f t="shared" si="10"/>
        <v/>
      </c>
      <c r="O144" s="31"/>
      <c r="P144" s="34" t="str">
        <f t="shared" si="11"/>
        <v/>
      </c>
      <c r="R144" t="s">
        <v>179</v>
      </c>
      <c r="S144" s="1" t="str">
        <f t="shared" si="9"/>
        <v/>
      </c>
      <c r="T144" s="1"/>
      <c r="U144" s="35" t="str">
        <f t="shared" si="12"/>
        <v/>
      </c>
    </row>
    <row r="145" spans="12:21" x14ac:dyDescent="0.25">
      <c r="L145" s="26">
        <v>142</v>
      </c>
      <c r="M145" t="s">
        <v>178</v>
      </c>
      <c r="N145" s="1" t="str">
        <f t="shared" si="10"/>
        <v/>
      </c>
      <c r="O145" s="31"/>
      <c r="P145" s="34" t="str">
        <f t="shared" si="11"/>
        <v/>
      </c>
      <c r="R145" t="s">
        <v>178</v>
      </c>
      <c r="S145" s="1" t="str">
        <f t="shared" si="9"/>
        <v/>
      </c>
      <c r="T145" s="1"/>
      <c r="U145" s="35" t="str">
        <f t="shared" si="12"/>
        <v/>
      </c>
    </row>
    <row r="146" spans="12:21" x14ac:dyDescent="0.25">
      <c r="L146" s="26">
        <v>143</v>
      </c>
      <c r="M146" t="s">
        <v>177</v>
      </c>
      <c r="N146" s="1" t="str">
        <f t="shared" si="10"/>
        <v/>
      </c>
      <c r="O146" s="31"/>
      <c r="P146" s="34" t="str">
        <f t="shared" si="11"/>
        <v/>
      </c>
      <c r="R146" t="s">
        <v>177</v>
      </c>
      <c r="S146" s="1" t="str">
        <f t="shared" si="9"/>
        <v/>
      </c>
      <c r="T146" s="1"/>
      <c r="U146" s="35" t="str">
        <f t="shared" si="12"/>
        <v/>
      </c>
    </row>
    <row r="147" spans="12:21" x14ac:dyDescent="0.25">
      <c r="L147" s="26">
        <v>144</v>
      </c>
      <c r="M147" t="s">
        <v>176</v>
      </c>
      <c r="N147" s="1" t="str">
        <f t="shared" si="10"/>
        <v/>
      </c>
      <c r="O147" s="31"/>
      <c r="P147" s="34" t="str">
        <f t="shared" si="11"/>
        <v/>
      </c>
      <c r="R147" t="s">
        <v>176</v>
      </c>
      <c r="S147" s="1" t="str">
        <f t="shared" si="9"/>
        <v/>
      </c>
      <c r="T147" s="1"/>
      <c r="U147" s="35" t="str">
        <f t="shared" si="12"/>
        <v/>
      </c>
    </row>
    <row r="148" spans="12:21" x14ac:dyDescent="0.25">
      <c r="L148" s="26">
        <v>145</v>
      </c>
      <c r="M148" t="s">
        <v>175</v>
      </c>
      <c r="N148" s="1" t="str">
        <f t="shared" si="10"/>
        <v/>
      </c>
      <c r="O148" s="31"/>
      <c r="P148" s="34" t="str">
        <f t="shared" si="11"/>
        <v/>
      </c>
      <c r="R148" t="s">
        <v>175</v>
      </c>
      <c r="S148" s="1" t="str">
        <f t="shared" si="9"/>
        <v/>
      </c>
      <c r="T148" s="1"/>
      <c r="U148" s="35" t="str">
        <f t="shared" si="12"/>
        <v/>
      </c>
    </row>
    <row r="149" spans="12:21" x14ac:dyDescent="0.25">
      <c r="L149" s="26">
        <v>146</v>
      </c>
      <c r="M149" t="s">
        <v>174</v>
      </c>
      <c r="N149" s="1" t="str">
        <f t="shared" si="10"/>
        <v/>
      </c>
      <c r="O149" s="31"/>
      <c r="P149" s="34" t="str">
        <f t="shared" si="11"/>
        <v/>
      </c>
      <c r="R149" t="s">
        <v>174</v>
      </c>
      <c r="S149" s="1" t="str">
        <f t="shared" si="9"/>
        <v/>
      </c>
      <c r="T149" s="1"/>
      <c r="U149" s="35" t="str">
        <f t="shared" si="12"/>
        <v/>
      </c>
    </row>
    <row r="150" spans="12:21" x14ac:dyDescent="0.25">
      <c r="L150" s="26">
        <v>147</v>
      </c>
      <c r="M150" t="s">
        <v>173</v>
      </c>
      <c r="N150" s="1" t="str">
        <f t="shared" si="10"/>
        <v/>
      </c>
      <c r="O150" s="31"/>
      <c r="P150" s="34" t="str">
        <f t="shared" si="11"/>
        <v/>
      </c>
      <c r="R150" t="s">
        <v>173</v>
      </c>
      <c r="S150" s="1" t="str">
        <f t="shared" si="9"/>
        <v/>
      </c>
      <c r="T150" s="1"/>
      <c r="U150" s="35" t="str">
        <f t="shared" si="12"/>
        <v/>
      </c>
    </row>
    <row r="151" spans="12:21" x14ac:dyDescent="0.25">
      <c r="L151" s="26">
        <v>148</v>
      </c>
      <c r="M151" t="s">
        <v>172</v>
      </c>
      <c r="N151" s="1" t="str">
        <f t="shared" si="10"/>
        <v/>
      </c>
      <c r="O151" s="31"/>
      <c r="P151" s="34" t="str">
        <f t="shared" si="11"/>
        <v/>
      </c>
      <c r="R151" t="s">
        <v>172</v>
      </c>
      <c r="S151" s="1" t="str">
        <f t="shared" si="9"/>
        <v/>
      </c>
      <c r="T151" s="1"/>
      <c r="U151" s="35" t="str">
        <f t="shared" si="12"/>
        <v/>
      </c>
    </row>
    <row r="152" spans="12:21" x14ac:dyDescent="0.25">
      <c r="L152" s="26">
        <v>149</v>
      </c>
      <c r="M152" t="s">
        <v>171</v>
      </c>
      <c r="N152" s="1" t="str">
        <f t="shared" si="10"/>
        <v/>
      </c>
      <c r="O152" s="31"/>
      <c r="P152" s="34" t="str">
        <f t="shared" si="11"/>
        <v/>
      </c>
      <c r="R152" t="s">
        <v>171</v>
      </c>
      <c r="S152" s="1" t="str">
        <f t="shared" ref="S152:S215" si="13">IF(L152&gt;$I$2,"",E152/$D$3-1)</f>
        <v/>
      </c>
      <c r="T152" s="1"/>
      <c r="U152" s="35" t="str">
        <f t="shared" si="12"/>
        <v/>
      </c>
    </row>
    <row r="153" spans="12:21" x14ac:dyDescent="0.25">
      <c r="L153" s="26">
        <v>150</v>
      </c>
      <c r="M153" t="s">
        <v>170</v>
      </c>
      <c r="N153" s="1" t="str">
        <f t="shared" si="10"/>
        <v/>
      </c>
      <c r="O153" s="31"/>
      <c r="P153" s="34" t="str">
        <f t="shared" si="11"/>
        <v/>
      </c>
      <c r="R153" t="s">
        <v>170</v>
      </c>
      <c r="S153" s="1" t="str">
        <f t="shared" si="13"/>
        <v/>
      </c>
      <c r="T153" s="1"/>
      <c r="U153" s="35" t="str">
        <f t="shared" si="12"/>
        <v/>
      </c>
    </row>
    <row r="154" spans="12:21" x14ac:dyDescent="0.25">
      <c r="L154" s="26">
        <v>151</v>
      </c>
      <c r="M154" t="s">
        <v>169</v>
      </c>
      <c r="N154" s="1" t="str">
        <f t="shared" si="10"/>
        <v/>
      </c>
      <c r="O154" s="31"/>
      <c r="P154" s="34" t="str">
        <f t="shared" si="11"/>
        <v/>
      </c>
      <c r="R154" t="s">
        <v>169</v>
      </c>
      <c r="S154" s="1" t="str">
        <f t="shared" si="13"/>
        <v/>
      </c>
      <c r="T154" s="1"/>
      <c r="U154" s="35" t="str">
        <f t="shared" si="12"/>
        <v/>
      </c>
    </row>
    <row r="155" spans="12:21" x14ac:dyDescent="0.25">
      <c r="L155" s="26">
        <v>152</v>
      </c>
      <c r="M155" t="s">
        <v>168</v>
      </c>
      <c r="N155" s="1" t="str">
        <f t="shared" si="10"/>
        <v/>
      </c>
      <c r="O155" s="31"/>
      <c r="P155" s="34" t="str">
        <f t="shared" si="11"/>
        <v/>
      </c>
      <c r="R155" t="s">
        <v>168</v>
      </c>
      <c r="S155" s="1" t="str">
        <f t="shared" si="13"/>
        <v/>
      </c>
      <c r="T155" s="1"/>
      <c r="U155" s="35" t="str">
        <f t="shared" si="12"/>
        <v/>
      </c>
    </row>
    <row r="156" spans="12:21" x14ac:dyDescent="0.25">
      <c r="L156" s="26">
        <v>153</v>
      </c>
      <c r="M156" t="s">
        <v>167</v>
      </c>
      <c r="N156" s="1" t="str">
        <f t="shared" si="10"/>
        <v/>
      </c>
      <c r="O156" s="31"/>
      <c r="P156" s="34" t="str">
        <f t="shared" si="11"/>
        <v/>
      </c>
      <c r="R156" t="s">
        <v>167</v>
      </c>
      <c r="S156" s="1" t="str">
        <f t="shared" si="13"/>
        <v/>
      </c>
      <c r="T156" s="1"/>
      <c r="U156" s="35" t="str">
        <f t="shared" si="12"/>
        <v/>
      </c>
    </row>
    <row r="157" spans="12:21" x14ac:dyDescent="0.25">
      <c r="L157" s="26">
        <v>154</v>
      </c>
      <c r="M157" t="s">
        <v>166</v>
      </c>
      <c r="N157" s="1" t="str">
        <f t="shared" si="10"/>
        <v/>
      </c>
      <c r="O157" s="31"/>
      <c r="P157" s="34" t="str">
        <f t="shared" si="11"/>
        <v/>
      </c>
      <c r="R157" t="s">
        <v>166</v>
      </c>
      <c r="S157" s="1" t="str">
        <f t="shared" si="13"/>
        <v/>
      </c>
      <c r="T157" s="1"/>
      <c r="U157" s="35" t="str">
        <f t="shared" si="12"/>
        <v/>
      </c>
    </row>
    <row r="158" spans="12:21" x14ac:dyDescent="0.25">
      <c r="L158" s="26">
        <v>155</v>
      </c>
      <c r="M158" t="s">
        <v>165</v>
      </c>
      <c r="N158" s="1" t="str">
        <f t="shared" si="10"/>
        <v/>
      </c>
      <c r="O158" s="31"/>
      <c r="P158" s="34" t="str">
        <f t="shared" si="11"/>
        <v/>
      </c>
      <c r="R158" t="s">
        <v>165</v>
      </c>
      <c r="S158" s="1" t="str">
        <f t="shared" si="13"/>
        <v/>
      </c>
      <c r="T158" s="1"/>
      <c r="U158" s="35" t="str">
        <f t="shared" si="12"/>
        <v/>
      </c>
    </row>
    <row r="159" spans="12:21" x14ac:dyDescent="0.25">
      <c r="L159" s="26">
        <v>156</v>
      </c>
      <c r="M159" t="s">
        <v>164</v>
      </c>
      <c r="N159" s="1" t="str">
        <f t="shared" si="10"/>
        <v/>
      </c>
      <c r="O159" s="31"/>
      <c r="P159" s="34" t="str">
        <f t="shared" si="11"/>
        <v/>
      </c>
      <c r="R159" t="s">
        <v>164</v>
      </c>
      <c r="S159" s="1" t="str">
        <f t="shared" si="13"/>
        <v/>
      </c>
      <c r="T159" s="1"/>
      <c r="U159" s="35" t="str">
        <f t="shared" si="12"/>
        <v/>
      </c>
    </row>
    <row r="160" spans="12:21" x14ac:dyDescent="0.25">
      <c r="L160" s="26">
        <v>157</v>
      </c>
      <c r="M160" t="s">
        <v>163</v>
      </c>
      <c r="N160" s="1" t="str">
        <f t="shared" si="10"/>
        <v/>
      </c>
      <c r="O160" s="31"/>
      <c r="P160" s="34" t="str">
        <f t="shared" si="11"/>
        <v/>
      </c>
      <c r="R160" t="s">
        <v>163</v>
      </c>
      <c r="S160" s="1" t="str">
        <f t="shared" si="13"/>
        <v/>
      </c>
      <c r="T160" s="1"/>
      <c r="U160" s="35" t="str">
        <f t="shared" si="12"/>
        <v/>
      </c>
    </row>
    <row r="161" spans="12:21" x14ac:dyDescent="0.25">
      <c r="L161" s="26">
        <v>158</v>
      </c>
      <c r="M161" t="s">
        <v>162</v>
      </c>
      <c r="N161" s="1" t="str">
        <f t="shared" si="10"/>
        <v/>
      </c>
      <c r="O161" s="31"/>
      <c r="P161" s="34" t="str">
        <f t="shared" si="11"/>
        <v/>
      </c>
      <c r="R161" t="s">
        <v>162</v>
      </c>
      <c r="S161" s="1" t="str">
        <f t="shared" si="13"/>
        <v/>
      </c>
      <c r="T161" s="1"/>
      <c r="U161" s="35" t="str">
        <f t="shared" si="12"/>
        <v/>
      </c>
    </row>
    <row r="162" spans="12:21" x14ac:dyDescent="0.25">
      <c r="L162" s="26">
        <v>159</v>
      </c>
      <c r="M162" t="s">
        <v>161</v>
      </c>
      <c r="N162" s="1" t="str">
        <f t="shared" si="10"/>
        <v/>
      </c>
      <c r="O162" s="31"/>
      <c r="P162" s="34" t="str">
        <f t="shared" si="11"/>
        <v/>
      </c>
      <c r="R162" t="s">
        <v>161</v>
      </c>
      <c r="S162" s="1" t="str">
        <f t="shared" si="13"/>
        <v/>
      </c>
      <c r="T162" s="1"/>
      <c r="U162" s="35" t="str">
        <f t="shared" si="12"/>
        <v/>
      </c>
    </row>
    <row r="163" spans="12:21" x14ac:dyDescent="0.25">
      <c r="L163" s="26">
        <v>160</v>
      </c>
      <c r="M163" t="s">
        <v>160</v>
      </c>
      <c r="N163" s="1" t="str">
        <f t="shared" si="10"/>
        <v/>
      </c>
      <c r="O163" s="31"/>
      <c r="P163" s="34" t="str">
        <f t="shared" si="11"/>
        <v/>
      </c>
      <c r="R163" t="s">
        <v>160</v>
      </c>
      <c r="S163" s="1" t="str">
        <f t="shared" si="13"/>
        <v/>
      </c>
      <c r="T163" s="1"/>
      <c r="U163" s="35" t="str">
        <f t="shared" si="12"/>
        <v/>
      </c>
    </row>
    <row r="164" spans="12:21" x14ac:dyDescent="0.25">
      <c r="L164" s="26">
        <v>161</v>
      </c>
      <c r="M164" t="s">
        <v>159</v>
      </c>
      <c r="N164" s="1" t="str">
        <f t="shared" si="10"/>
        <v/>
      </c>
      <c r="O164" s="31"/>
      <c r="P164" s="34" t="str">
        <f t="shared" si="11"/>
        <v/>
      </c>
      <c r="R164" t="s">
        <v>159</v>
      </c>
      <c r="S164" s="1" t="str">
        <f t="shared" si="13"/>
        <v/>
      </c>
      <c r="T164" s="1"/>
      <c r="U164" s="35" t="str">
        <f t="shared" si="12"/>
        <v/>
      </c>
    </row>
    <row r="165" spans="12:21" x14ac:dyDescent="0.25">
      <c r="L165" s="26">
        <v>162</v>
      </c>
      <c r="M165" t="s">
        <v>158</v>
      </c>
      <c r="N165" s="1" t="str">
        <f t="shared" si="10"/>
        <v/>
      </c>
      <c r="O165" s="31"/>
      <c r="P165" s="34" t="str">
        <f t="shared" si="11"/>
        <v/>
      </c>
      <c r="R165" t="s">
        <v>158</v>
      </c>
      <c r="S165" s="1" t="str">
        <f t="shared" si="13"/>
        <v/>
      </c>
      <c r="T165" s="1"/>
      <c r="U165" s="35" t="str">
        <f t="shared" si="12"/>
        <v/>
      </c>
    </row>
    <row r="166" spans="12:21" x14ac:dyDescent="0.25">
      <c r="L166" s="26">
        <v>163</v>
      </c>
      <c r="M166" t="s">
        <v>157</v>
      </c>
      <c r="N166" s="1" t="str">
        <f t="shared" si="10"/>
        <v/>
      </c>
      <c r="O166" s="31"/>
      <c r="P166" s="34" t="str">
        <f t="shared" si="11"/>
        <v/>
      </c>
      <c r="R166" t="s">
        <v>157</v>
      </c>
      <c r="S166" s="1" t="str">
        <f t="shared" si="13"/>
        <v/>
      </c>
      <c r="T166" s="1"/>
      <c r="U166" s="35" t="str">
        <f t="shared" si="12"/>
        <v/>
      </c>
    </row>
    <row r="167" spans="12:21" x14ac:dyDescent="0.25">
      <c r="L167" s="26">
        <v>164</v>
      </c>
      <c r="M167" t="s">
        <v>156</v>
      </c>
      <c r="N167" s="1" t="str">
        <f t="shared" si="10"/>
        <v/>
      </c>
      <c r="O167" s="31"/>
      <c r="P167" s="34" t="str">
        <f t="shared" si="11"/>
        <v/>
      </c>
      <c r="R167" t="s">
        <v>156</v>
      </c>
      <c r="S167" s="1" t="str">
        <f t="shared" si="13"/>
        <v/>
      </c>
      <c r="T167" s="1"/>
      <c r="U167" s="35" t="str">
        <f t="shared" si="12"/>
        <v/>
      </c>
    </row>
    <row r="168" spans="12:21" x14ac:dyDescent="0.25">
      <c r="L168" s="26">
        <v>165</v>
      </c>
      <c r="M168" t="s">
        <v>155</v>
      </c>
      <c r="N168" s="1" t="str">
        <f t="shared" si="10"/>
        <v/>
      </c>
      <c r="O168" s="31"/>
      <c r="P168" s="34" t="str">
        <f t="shared" si="11"/>
        <v/>
      </c>
      <c r="R168" t="s">
        <v>155</v>
      </c>
      <c r="S168" s="1" t="str">
        <f t="shared" si="13"/>
        <v/>
      </c>
      <c r="T168" s="1"/>
      <c r="U168" s="35" t="str">
        <f t="shared" si="12"/>
        <v/>
      </c>
    </row>
    <row r="169" spans="12:21" x14ac:dyDescent="0.25">
      <c r="L169" s="26">
        <v>166</v>
      </c>
      <c r="M169" t="s">
        <v>154</v>
      </c>
      <c r="N169" s="1" t="str">
        <f t="shared" si="10"/>
        <v/>
      </c>
      <c r="O169" s="31"/>
      <c r="P169" s="34" t="str">
        <f t="shared" si="11"/>
        <v/>
      </c>
      <c r="R169" t="s">
        <v>154</v>
      </c>
      <c r="S169" s="1" t="str">
        <f t="shared" si="13"/>
        <v/>
      </c>
      <c r="T169" s="1"/>
      <c r="U169" s="35" t="str">
        <f t="shared" si="12"/>
        <v/>
      </c>
    </row>
    <row r="170" spans="12:21" x14ac:dyDescent="0.25">
      <c r="L170" s="26">
        <v>167</v>
      </c>
      <c r="M170" t="s">
        <v>153</v>
      </c>
      <c r="N170" s="1" t="str">
        <f t="shared" si="10"/>
        <v/>
      </c>
      <c r="O170" s="31"/>
      <c r="P170" s="34" t="str">
        <f t="shared" si="11"/>
        <v/>
      </c>
      <c r="R170" t="s">
        <v>153</v>
      </c>
      <c r="S170" s="1" t="str">
        <f t="shared" si="13"/>
        <v/>
      </c>
      <c r="T170" s="1"/>
      <c r="U170" s="35" t="str">
        <f t="shared" si="12"/>
        <v/>
      </c>
    </row>
    <row r="171" spans="12:21" x14ac:dyDescent="0.25">
      <c r="L171" s="26">
        <v>168</v>
      </c>
      <c r="M171" t="s">
        <v>152</v>
      </c>
      <c r="N171" s="1" t="str">
        <f t="shared" si="10"/>
        <v/>
      </c>
      <c r="O171" s="31"/>
      <c r="P171" s="34" t="str">
        <f t="shared" si="11"/>
        <v/>
      </c>
      <c r="R171" t="s">
        <v>152</v>
      </c>
      <c r="S171" s="1" t="str">
        <f t="shared" si="13"/>
        <v/>
      </c>
      <c r="T171" s="1"/>
      <c r="U171" s="35" t="str">
        <f t="shared" si="12"/>
        <v/>
      </c>
    </row>
    <row r="172" spans="12:21" x14ac:dyDescent="0.25">
      <c r="L172" s="26">
        <v>169</v>
      </c>
      <c r="M172" t="s">
        <v>151</v>
      </c>
      <c r="N172" s="1" t="str">
        <f t="shared" si="10"/>
        <v/>
      </c>
      <c r="O172" s="31"/>
      <c r="P172" s="34" t="str">
        <f t="shared" si="11"/>
        <v/>
      </c>
      <c r="R172" t="s">
        <v>151</v>
      </c>
      <c r="S172" s="1" t="str">
        <f t="shared" si="13"/>
        <v/>
      </c>
      <c r="T172" s="1"/>
      <c r="U172" s="35" t="str">
        <f t="shared" si="12"/>
        <v/>
      </c>
    </row>
    <row r="173" spans="12:21" x14ac:dyDescent="0.25">
      <c r="L173" s="26">
        <v>170</v>
      </c>
      <c r="M173" t="s">
        <v>150</v>
      </c>
      <c r="N173" s="1" t="str">
        <f t="shared" si="10"/>
        <v/>
      </c>
      <c r="O173" s="31"/>
      <c r="P173" s="34" t="str">
        <f t="shared" si="11"/>
        <v/>
      </c>
      <c r="R173" t="s">
        <v>150</v>
      </c>
      <c r="S173" s="1" t="str">
        <f t="shared" si="13"/>
        <v/>
      </c>
      <c r="T173" s="1"/>
      <c r="U173" s="35" t="str">
        <f t="shared" si="12"/>
        <v/>
      </c>
    </row>
    <row r="174" spans="12:21" x14ac:dyDescent="0.25">
      <c r="L174" s="26">
        <v>171</v>
      </c>
      <c r="M174" t="s">
        <v>149</v>
      </c>
      <c r="N174" s="1" t="str">
        <f t="shared" si="10"/>
        <v/>
      </c>
      <c r="O174" s="31"/>
      <c r="P174" s="34" t="str">
        <f t="shared" si="11"/>
        <v/>
      </c>
      <c r="R174" t="s">
        <v>149</v>
      </c>
      <c r="S174" s="1" t="str">
        <f t="shared" si="13"/>
        <v/>
      </c>
      <c r="T174" s="1"/>
      <c r="U174" s="35" t="str">
        <f t="shared" si="12"/>
        <v/>
      </c>
    </row>
    <row r="175" spans="12:21" x14ac:dyDescent="0.25">
      <c r="L175" s="26">
        <v>172</v>
      </c>
      <c r="M175" t="s">
        <v>148</v>
      </c>
      <c r="N175" s="1" t="str">
        <f t="shared" si="10"/>
        <v/>
      </c>
      <c r="O175" s="31"/>
      <c r="P175" s="34" t="str">
        <f t="shared" si="11"/>
        <v/>
      </c>
      <c r="R175" t="s">
        <v>148</v>
      </c>
      <c r="S175" s="1" t="str">
        <f t="shared" si="13"/>
        <v/>
      </c>
      <c r="T175" s="1"/>
      <c r="U175" s="35" t="str">
        <f t="shared" si="12"/>
        <v/>
      </c>
    </row>
    <row r="176" spans="12:21" x14ac:dyDescent="0.25">
      <c r="L176" s="26">
        <v>173</v>
      </c>
      <c r="M176" t="s">
        <v>147</v>
      </c>
      <c r="N176" s="1" t="str">
        <f t="shared" si="10"/>
        <v/>
      </c>
      <c r="O176" s="31"/>
      <c r="P176" s="34" t="str">
        <f t="shared" si="11"/>
        <v/>
      </c>
      <c r="R176" t="s">
        <v>147</v>
      </c>
      <c r="S176" s="1" t="str">
        <f t="shared" si="13"/>
        <v/>
      </c>
      <c r="T176" s="1"/>
      <c r="U176" s="35" t="str">
        <f t="shared" si="12"/>
        <v/>
      </c>
    </row>
    <row r="177" spans="12:21" x14ac:dyDescent="0.25">
      <c r="L177" s="26">
        <v>174</v>
      </c>
      <c r="M177" t="s">
        <v>146</v>
      </c>
      <c r="N177" s="1" t="str">
        <f t="shared" si="10"/>
        <v/>
      </c>
      <c r="O177" s="31"/>
      <c r="P177" s="34" t="str">
        <f t="shared" si="11"/>
        <v/>
      </c>
      <c r="R177" t="s">
        <v>146</v>
      </c>
      <c r="S177" s="1" t="str">
        <f t="shared" si="13"/>
        <v/>
      </c>
      <c r="T177" s="1"/>
      <c r="U177" s="35" t="str">
        <f t="shared" si="12"/>
        <v/>
      </c>
    </row>
    <row r="178" spans="12:21" x14ac:dyDescent="0.25">
      <c r="L178" s="26">
        <v>175</v>
      </c>
      <c r="M178" t="s">
        <v>145</v>
      </c>
      <c r="N178" s="1" t="str">
        <f t="shared" si="10"/>
        <v/>
      </c>
      <c r="O178" s="31"/>
      <c r="P178" s="34" t="str">
        <f t="shared" si="11"/>
        <v/>
      </c>
      <c r="R178" t="s">
        <v>145</v>
      </c>
      <c r="S178" s="1" t="str">
        <f t="shared" si="13"/>
        <v/>
      </c>
      <c r="T178" s="1"/>
      <c r="U178" s="35" t="str">
        <f t="shared" si="12"/>
        <v/>
      </c>
    </row>
    <row r="179" spans="12:21" x14ac:dyDescent="0.25">
      <c r="L179" s="26">
        <v>176</v>
      </c>
      <c r="M179" t="s">
        <v>144</v>
      </c>
      <c r="N179" s="1" t="str">
        <f t="shared" si="10"/>
        <v/>
      </c>
      <c r="O179" s="31"/>
      <c r="P179" s="34" t="str">
        <f t="shared" si="11"/>
        <v/>
      </c>
      <c r="R179" t="s">
        <v>144</v>
      </c>
      <c r="S179" s="1" t="str">
        <f t="shared" si="13"/>
        <v/>
      </c>
      <c r="T179" s="1"/>
      <c r="U179" s="35" t="str">
        <f t="shared" si="12"/>
        <v/>
      </c>
    </row>
    <row r="180" spans="12:21" x14ac:dyDescent="0.25">
      <c r="L180" s="26">
        <v>177</v>
      </c>
      <c r="M180" t="s">
        <v>143</v>
      </c>
      <c r="N180" s="1" t="str">
        <f t="shared" si="10"/>
        <v/>
      </c>
      <c r="O180" s="31"/>
      <c r="P180" s="34" t="str">
        <f t="shared" si="11"/>
        <v/>
      </c>
      <c r="R180" t="s">
        <v>143</v>
      </c>
      <c r="S180" s="1" t="str">
        <f t="shared" si="13"/>
        <v/>
      </c>
      <c r="T180" s="1"/>
      <c r="U180" s="35" t="str">
        <f t="shared" si="12"/>
        <v/>
      </c>
    </row>
    <row r="181" spans="12:21" x14ac:dyDescent="0.25">
      <c r="L181" s="26">
        <v>178</v>
      </c>
      <c r="M181" t="s">
        <v>142</v>
      </c>
      <c r="N181" s="1" t="str">
        <f t="shared" si="10"/>
        <v/>
      </c>
      <c r="O181" s="31"/>
      <c r="P181" s="34" t="str">
        <f t="shared" si="11"/>
        <v/>
      </c>
      <c r="R181" t="s">
        <v>142</v>
      </c>
      <c r="S181" s="1" t="str">
        <f t="shared" si="13"/>
        <v/>
      </c>
      <c r="T181" s="1"/>
      <c r="U181" s="35" t="str">
        <f t="shared" si="12"/>
        <v/>
      </c>
    </row>
    <row r="182" spans="12:21" x14ac:dyDescent="0.25">
      <c r="L182" s="26">
        <v>179</v>
      </c>
      <c r="M182" t="s">
        <v>141</v>
      </c>
      <c r="N182" s="1" t="str">
        <f t="shared" si="10"/>
        <v/>
      </c>
      <c r="O182" s="31"/>
      <c r="P182" s="34" t="str">
        <f t="shared" si="11"/>
        <v/>
      </c>
      <c r="R182" t="s">
        <v>141</v>
      </c>
      <c r="S182" s="1" t="str">
        <f t="shared" si="13"/>
        <v/>
      </c>
      <c r="T182" s="1"/>
      <c r="U182" s="35" t="str">
        <f t="shared" si="12"/>
        <v/>
      </c>
    </row>
    <row r="183" spans="12:21" x14ac:dyDescent="0.25">
      <c r="L183" s="26">
        <v>180</v>
      </c>
      <c r="M183" t="s">
        <v>140</v>
      </c>
      <c r="N183" s="1" t="str">
        <f t="shared" si="10"/>
        <v/>
      </c>
      <c r="O183" s="31"/>
      <c r="P183" s="34" t="str">
        <f t="shared" si="11"/>
        <v/>
      </c>
      <c r="R183" t="s">
        <v>140</v>
      </c>
      <c r="S183" s="1" t="str">
        <f t="shared" si="13"/>
        <v/>
      </c>
      <c r="T183" s="1"/>
      <c r="U183" s="35" t="str">
        <f t="shared" si="12"/>
        <v/>
      </c>
    </row>
    <row r="184" spans="12:21" x14ac:dyDescent="0.25">
      <c r="L184" s="26">
        <v>181</v>
      </c>
      <c r="M184" t="s">
        <v>139</v>
      </c>
      <c r="N184" s="1" t="str">
        <f t="shared" si="10"/>
        <v/>
      </c>
      <c r="O184" s="31"/>
      <c r="P184" s="34" t="str">
        <f t="shared" si="11"/>
        <v/>
      </c>
      <c r="R184" t="s">
        <v>139</v>
      </c>
      <c r="S184" s="1" t="str">
        <f t="shared" si="13"/>
        <v/>
      </c>
      <c r="T184" s="1"/>
      <c r="U184" s="35" t="str">
        <f t="shared" si="12"/>
        <v/>
      </c>
    </row>
    <row r="185" spans="12:21" x14ac:dyDescent="0.25">
      <c r="L185" s="26">
        <v>182</v>
      </c>
      <c r="M185" t="s">
        <v>138</v>
      </c>
      <c r="N185" s="1" t="str">
        <f t="shared" si="10"/>
        <v/>
      </c>
      <c r="O185" s="31"/>
      <c r="P185" s="34" t="str">
        <f t="shared" si="11"/>
        <v/>
      </c>
      <c r="R185" t="s">
        <v>138</v>
      </c>
      <c r="S185" s="1" t="str">
        <f t="shared" si="13"/>
        <v/>
      </c>
      <c r="T185" s="1"/>
      <c r="U185" s="35" t="str">
        <f t="shared" si="12"/>
        <v/>
      </c>
    </row>
    <row r="186" spans="12:21" x14ac:dyDescent="0.25">
      <c r="L186" s="26">
        <v>183</v>
      </c>
      <c r="M186" t="s">
        <v>137</v>
      </c>
      <c r="N186" s="1" t="str">
        <f t="shared" si="10"/>
        <v/>
      </c>
      <c r="O186" s="31"/>
      <c r="P186" s="34" t="str">
        <f t="shared" si="11"/>
        <v/>
      </c>
      <c r="R186" t="s">
        <v>137</v>
      </c>
      <c r="S186" s="1" t="str">
        <f t="shared" si="13"/>
        <v/>
      </c>
      <c r="T186" s="1"/>
      <c r="U186" s="35" t="str">
        <f t="shared" si="12"/>
        <v/>
      </c>
    </row>
    <row r="187" spans="12:21" x14ac:dyDescent="0.25">
      <c r="L187" s="26">
        <v>184</v>
      </c>
      <c r="M187" t="s">
        <v>136</v>
      </c>
      <c r="N187" s="1" t="str">
        <f t="shared" si="10"/>
        <v/>
      </c>
      <c r="O187" s="31"/>
      <c r="P187" s="34" t="str">
        <f t="shared" si="11"/>
        <v/>
      </c>
      <c r="R187" t="s">
        <v>136</v>
      </c>
      <c r="S187" s="1" t="str">
        <f t="shared" si="13"/>
        <v/>
      </c>
      <c r="T187" s="1"/>
      <c r="U187" s="35" t="str">
        <f t="shared" si="12"/>
        <v/>
      </c>
    </row>
    <row r="188" spans="12:21" x14ac:dyDescent="0.25">
      <c r="L188" s="26">
        <v>185</v>
      </c>
      <c r="M188" t="s">
        <v>135</v>
      </c>
      <c r="N188" s="1" t="str">
        <f t="shared" si="10"/>
        <v/>
      </c>
      <c r="O188" s="31"/>
      <c r="P188" s="34" t="str">
        <f t="shared" si="11"/>
        <v/>
      </c>
      <c r="R188" t="s">
        <v>135</v>
      </c>
      <c r="S188" s="1" t="str">
        <f t="shared" si="13"/>
        <v/>
      </c>
      <c r="T188" s="1"/>
      <c r="U188" s="35" t="str">
        <f t="shared" si="12"/>
        <v/>
      </c>
    </row>
    <row r="189" spans="12:21" x14ac:dyDescent="0.25">
      <c r="L189" s="26">
        <v>186</v>
      </c>
      <c r="M189" t="s">
        <v>134</v>
      </c>
      <c r="N189" s="1" t="str">
        <f t="shared" si="10"/>
        <v/>
      </c>
      <c r="O189" s="31"/>
      <c r="P189" s="34" t="str">
        <f t="shared" si="11"/>
        <v/>
      </c>
      <c r="R189" t="s">
        <v>134</v>
      </c>
      <c r="S189" s="1" t="str">
        <f t="shared" si="13"/>
        <v/>
      </c>
      <c r="T189" s="1"/>
      <c r="U189" s="35" t="str">
        <f t="shared" si="12"/>
        <v/>
      </c>
    </row>
    <row r="190" spans="12:21" x14ac:dyDescent="0.25">
      <c r="L190" s="26">
        <v>187</v>
      </c>
      <c r="M190" t="s">
        <v>133</v>
      </c>
      <c r="N190" s="1" t="str">
        <f t="shared" si="10"/>
        <v/>
      </c>
      <c r="O190" s="31"/>
      <c r="P190" s="34" t="str">
        <f t="shared" si="11"/>
        <v/>
      </c>
      <c r="R190" t="s">
        <v>133</v>
      </c>
      <c r="S190" s="1" t="str">
        <f t="shared" si="13"/>
        <v/>
      </c>
      <c r="T190" s="1"/>
      <c r="U190" s="35" t="str">
        <f t="shared" si="12"/>
        <v/>
      </c>
    </row>
    <row r="191" spans="12:21" x14ac:dyDescent="0.25">
      <c r="L191" s="26">
        <v>188</v>
      </c>
      <c r="M191" t="s">
        <v>132</v>
      </c>
      <c r="N191" s="1" t="str">
        <f t="shared" si="10"/>
        <v/>
      </c>
      <c r="O191" s="31"/>
      <c r="P191" s="34" t="str">
        <f t="shared" si="11"/>
        <v/>
      </c>
      <c r="R191" t="s">
        <v>132</v>
      </c>
      <c r="S191" s="1" t="str">
        <f t="shared" si="13"/>
        <v/>
      </c>
      <c r="T191" s="1"/>
      <c r="U191" s="35" t="str">
        <f t="shared" si="12"/>
        <v/>
      </c>
    </row>
    <row r="192" spans="12:21" x14ac:dyDescent="0.25">
      <c r="L192" s="26">
        <v>189</v>
      </c>
      <c r="M192" t="s">
        <v>131</v>
      </c>
      <c r="N192" s="1" t="str">
        <f t="shared" si="10"/>
        <v/>
      </c>
      <c r="O192" s="31"/>
      <c r="P192" s="34" t="str">
        <f t="shared" si="11"/>
        <v/>
      </c>
      <c r="R192" t="s">
        <v>131</v>
      </c>
      <c r="S192" s="1" t="str">
        <f t="shared" si="13"/>
        <v/>
      </c>
      <c r="T192" s="1"/>
      <c r="U192" s="35" t="str">
        <f t="shared" si="12"/>
        <v/>
      </c>
    </row>
    <row r="193" spans="12:21" x14ac:dyDescent="0.25">
      <c r="L193" s="26">
        <v>190</v>
      </c>
      <c r="M193" t="s">
        <v>130</v>
      </c>
      <c r="N193" s="1" t="str">
        <f t="shared" si="10"/>
        <v/>
      </c>
      <c r="O193" s="31"/>
      <c r="P193" s="34" t="str">
        <f t="shared" si="11"/>
        <v/>
      </c>
      <c r="R193" t="s">
        <v>130</v>
      </c>
      <c r="S193" s="1" t="str">
        <f t="shared" si="13"/>
        <v/>
      </c>
      <c r="T193" s="1"/>
      <c r="U193" s="35" t="str">
        <f t="shared" si="12"/>
        <v/>
      </c>
    </row>
    <row r="194" spans="12:21" x14ac:dyDescent="0.25">
      <c r="L194" s="26">
        <v>191</v>
      </c>
      <c r="M194" t="s">
        <v>129</v>
      </c>
      <c r="N194" s="1" t="str">
        <f t="shared" si="10"/>
        <v/>
      </c>
      <c r="O194" s="31"/>
      <c r="P194" s="34" t="str">
        <f t="shared" si="11"/>
        <v/>
      </c>
      <c r="R194" t="s">
        <v>129</v>
      </c>
      <c r="S194" s="1" t="str">
        <f t="shared" si="13"/>
        <v/>
      </c>
      <c r="T194" s="1"/>
      <c r="U194" s="35" t="str">
        <f t="shared" si="12"/>
        <v/>
      </c>
    </row>
    <row r="195" spans="12:21" x14ac:dyDescent="0.25">
      <c r="L195" s="26">
        <v>192</v>
      </c>
      <c r="M195" t="s">
        <v>128</v>
      </c>
      <c r="N195" s="1" t="str">
        <f t="shared" si="10"/>
        <v/>
      </c>
      <c r="O195" s="31"/>
      <c r="P195" s="34" t="str">
        <f t="shared" si="11"/>
        <v/>
      </c>
      <c r="R195" t="s">
        <v>128</v>
      </c>
      <c r="S195" s="1" t="str">
        <f t="shared" si="13"/>
        <v/>
      </c>
      <c r="T195" s="1"/>
      <c r="U195" s="35" t="str">
        <f t="shared" si="12"/>
        <v/>
      </c>
    </row>
    <row r="196" spans="12:21" x14ac:dyDescent="0.25">
      <c r="L196" s="26">
        <v>193</v>
      </c>
      <c r="M196" t="s">
        <v>127</v>
      </c>
      <c r="N196" s="1" t="str">
        <f t="shared" si="10"/>
        <v/>
      </c>
      <c r="O196" s="31"/>
      <c r="P196" s="34" t="str">
        <f t="shared" si="11"/>
        <v/>
      </c>
      <c r="R196" t="s">
        <v>127</v>
      </c>
      <c r="S196" s="1" t="str">
        <f t="shared" si="13"/>
        <v/>
      </c>
      <c r="T196" s="1"/>
      <c r="U196" s="35" t="str">
        <f t="shared" si="12"/>
        <v/>
      </c>
    </row>
    <row r="197" spans="12:21" x14ac:dyDescent="0.25">
      <c r="L197" s="26">
        <v>194</v>
      </c>
      <c r="M197" t="s">
        <v>126</v>
      </c>
      <c r="N197" s="1" t="str">
        <f t="shared" ref="N197:N252" si="14">IF(L197&gt;$I$2,"",F197/$D$3-1)</f>
        <v/>
      </c>
      <c r="O197" s="31"/>
      <c r="P197" s="34" t="str">
        <f t="shared" ref="P197:P253" si="15">IF(AND(L197&lt;=$I$2,N197&lt;= -0.1),1,"")</f>
        <v/>
      </c>
      <c r="R197" t="s">
        <v>126</v>
      </c>
      <c r="S197" s="1" t="str">
        <f t="shared" si="13"/>
        <v/>
      </c>
      <c r="T197" s="1"/>
      <c r="U197" s="35" t="str">
        <f t="shared" ref="U197:U253" si="16">IF(AND(L197&lt;=$I$2,S197&gt;=0.2),1,"")</f>
        <v/>
      </c>
    </row>
    <row r="198" spans="12:21" x14ac:dyDescent="0.25">
      <c r="L198" s="26">
        <v>195</v>
      </c>
      <c r="M198" t="s">
        <v>125</v>
      </c>
      <c r="N198" s="1" t="str">
        <f t="shared" si="14"/>
        <v/>
      </c>
      <c r="O198" s="31"/>
      <c r="P198" s="34" t="str">
        <f t="shared" si="15"/>
        <v/>
      </c>
      <c r="R198" t="s">
        <v>125</v>
      </c>
      <c r="S198" s="1" t="str">
        <f t="shared" si="13"/>
        <v/>
      </c>
      <c r="T198" s="1"/>
      <c r="U198" s="35" t="str">
        <f t="shared" si="16"/>
        <v/>
      </c>
    </row>
    <row r="199" spans="12:21" x14ac:dyDescent="0.25">
      <c r="L199" s="26">
        <v>196</v>
      </c>
      <c r="M199" t="s">
        <v>124</v>
      </c>
      <c r="N199" s="1" t="str">
        <f t="shared" si="14"/>
        <v/>
      </c>
      <c r="O199" s="31"/>
      <c r="P199" s="34" t="str">
        <f t="shared" si="15"/>
        <v/>
      </c>
      <c r="R199" t="s">
        <v>124</v>
      </c>
      <c r="S199" s="1" t="str">
        <f t="shared" si="13"/>
        <v/>
      </c>
      <c r="T199" s="1"/>
      <c r="U199" s="35" t="str">
        <f t="shared" si="16"/>
        <v/>
      </c>
    </row>
    <row r="200" spans="12:21" x14ac:dyDescent="0.25">
      <c r="L200" s="26">
        <v>197</v>
      </c>
      <c r="M200" t="s">
        <v>123</v>
      </c>
      <c r="N200" s="1" t="str">
        <f t="shared" si="14"/>
        <v/>
      </c>
      <c r="O200" s="31"/>
      <c r="P200" s="34" t="str">
        <f t="shared" si="15"/>
        <v/>
      </c>
      <c r="R200" t="s">
        <v>123</v>
      </c>
      <c r="S200" s="1" t="str">
        <f t="shared" si="13"/>
        <v/>
      </c>
      <c r="T200" s="1"/>
      <c r="U200" s="35" t="str">
        <f t="shared" si="16"/>
        <v/>
      </c>
    </row>
    <row r="201" spans="12:21" x14ac:dyDescent="0.25">
      <c r="L201" s="26">
        <v>198</v>
      </c>
      <c r="M201" t="s">
        <v>122</v>
      </c>
      <c r="N201" s="1" t="str">
        <f t="shared" si="14"/>
        <v/>
      </c>
      <c r="O201" s="31"/>
      <c r="P201" s="34" t="str">
        <f t="shared" si="15"/>
        <v/>
      </c>
      <c r="R201" t="s">
        <v>122</v>
      </c>
      <c r="S201" s="1" t="str">
        <f t="shared" si="13"/>
        <v/>
      </c>
      <c r="T201" s="1"/>
      <c r="U201" s="35" t="str">
        <f t="shared" si="16"/>
        <v/>
      </c>
    </row>
    <row r="202" spans="12:21" x14ac:dyDescent="0.25">
      <c r="L202" s="26">
        <v>199</v>
      </c>
      <c r="M202" t="s">
        <v>121</v>
      </c>
      <c r="N202" s="1" t="str">
        <f t="shared" si="14"/>
        <v/>
      </c>
      <c r="O202" s="31"/>
      <c r="P202" s="34" t="str">
        <f t="shared" si="15"/>
        <v/>
      </c>
      <c r="R202" t="s">
        <v>121</v>
      </c>
      <c r="S202" s="1" t="str">
        <f t="shared" si="13"/>
        <v/>
      </c>
      <c r="T202" s="1"/>
      <c r="U202" s="35" t="str">
        <f t="shared" si="16"/>
        <v/>
      </c>
    </row>
    <row r="203" spans="12:21" x14ac:dyDescent="0.25">
      <c r="L203" s="26">
        <v>200</v>
      </c>
      <c r="M203" t="s">
        <v>120</v>
      </c>
      <c r="N203" s="1" t="str">
        <f t="shared" si="14"/>
        <v/>
      </c>
      <c r="O203" s="31"/>
      <c r="P203" s="34" t="str">
        <f t="shared" si="15"/>
        <v/>
      </c>
      <c r="R203" t="s">
        <v>120</v>
      </c>
      <c r="S203" s="1" t="str">
        <f t="shared" si="13"/>
        <v/>
      </c>
      <c r="T203" s="1"/>
      <c r="U203" s="35" t="str">
        <f t="shared" si="16"/>
        <v/>
      </c>
    </row>
    <row r="204" spans="12:21" x14ac:dyDescent="0.25">
      <c r="L204" s="26">
        <v>201</v>
      </c>
      <c r="M204" t="s">
        <v>119</v>
      </c>
      <c r="N204" s="1" t="str">
        <f t="shared" si="14"/>
        <v/>
      </c>
      <c r="O204" s="31"/>
      <c r="P204" s="34" t="str">
        <f t="shared" si="15"/>
        <v/>
      </c>
      <c r="R204" t="s">
        <v>119</v>
      </c>
      <c r="S204" s="1" t="str">
        <f t="shared" si="13"/>
        <v/>
      </c>
      <c r="T204" s="1"/>
      <c r="U204" s="35" t="str">
        <f t="shared" si="16"/>
        <v/>
      </c>
    </row>
    <row r="205" spans="12:21" x14ac:dyDescent="0.25">
      <c r="L205" s="26">
        <v>202</v>
      </c>
      <c r="M205" t="s">
        <v>118</v>
      </c>
      <c r="N205" s="1" t="str">
        <f t="shared" si="14"/>
        <v/>
      </c>
      <c r="O205" s="31"/>
      <c r="P205" s="34" t="str">
        <f t="shared" si="15"/>
        <v/>
      </c>
      <c r="R205" t="s">
        <v>118</v>
      </c>
      <c r="S205" s="1" t="str">
        <f t="shared" si="13"/>
        <v/>
      </c>
      <c r="T205" s="1"/>
      <c r="U205" s="35" t="str">
        <f t="shared" si="16"/>
        <v/>
      </c>
    </row>
    <row r="206" spans="12:21" x14ac:dyDescent="0.25">
      <c r="L206" s="26">
        <v>203</v>
      </c>
      <c r="M206" t="s">
        <v>117</v>
      </c>
      <c r="N206" s="1" t="str">
        <f t="shared" si="14"/>
        <v/>
      </c>
      <c r="O206" s="31"/>
      <c r="P206" s="34" t="str">
        <f t="shared" si="15"/>
        <v/>
      </c>
      <c r="R206" t="s">
        <v>117</v>
      </c>
      <c r="S206" s="1" t="str">
        <f t="shared" si="13"/>
        <v/>
      </c>
      <c r="T206" s="1"/>
      <c r="U206" s="35" t="str">
        <f t="shared" si="16"/>
        <v/>
      </c>
    </row>
    <row r="207" spans="12:21" x14ac:dyDescent="0.25">
      <c r="L207" s="26">
        <v>204</v>
      </c>
      <c r="M207" t="s">
        <v>116</v>
      </c>
      <c r="N207" s="1" t="str">
        <f t="shared" si="14"/>
        <v/>
      </c>
      <c r="O207" s="31"/>
      <c r="P207" s="34" t="str">
        <f t="shared" si="15"/>
        <v/>
      </c>
      <c r="R207" t="s">
        <v>116</v>
      </c>
      <c r="S207" s="1" t="str">
        <f t="shared" si="13"/>
        <v/>
      </c>
      <c r="T207" s="1"/>
      <c r="U207" s="35" t="str">
        <f t="shared" si="16"/>
        <v/>
      </c>
    </row>
    <row r="208" spans="12:21" x14ac:dyDescent="0.25">
      <c r="L208" s="26">
        <v>205</v>
      </c>
      <c r="M208" t="s">
        <v>115</v>
      </c>
      <c r="N208" s="1" t="str">
        <f t="shared" si="14"/>
        <v/>
      </c>
      <c r="O208" s="31"/>
      <c r="P208" s="34" t="str">
        <f t="shared" si="15"/>
        <v/>
      </c>
      <c r="R208" t="s">
        <v>115</v>
      </c>
      <c r="S208" s="1" t="str">
        <f t="shared" si="13"/>
        <v/>
      </c>
      <c r="T208" s="1"/>
      <c r="U208" s="35" t="str">
        <f t="shared" si="16"/>
        <v/>
      </c>
    </row>
    <row r="209" spans="12:21" x14ac:dyDescent="0.25">
      <c r="L209" s="26">
        <v>206</v>
      </c>
      <c r="M209" t="s">
        <v>114</v>
      </c>
      <c r="N209" s="1" t="str">
        <f t="shared" si="14"/>
        <v/>
      </c>
      <c r="O209" s="31"/>
      <c r="P209" s="34" t="str">
        <f t="shared" si="15"/>
        <v/>
      </c>
      <c r="R209" t="s">
        <v>114</v>
      </c>
      <c r="S209" s="1" t="str">
        <f t="shared" si="13"/>
        <v/>
      </c>
      <c r="T209" s="1"/>
      <c r="U209" s="35" t="str">
        <f t="shared" si="16"/>
        <v/>
      </c>
    </row>
    <row r="210" spans="12:21" x14ac:dyDescent="0.25">
      <c r="L210" s="26">
        <v>207</v>
      </c>
      <c r="M210" t="s">
        <v>113</v>
      </c>
      <c r="N210" s="1" t="str">
        <f t="shared" si="14"/>
        <v/>
      </c>
      <c r="O210" s="31"/>
      <c r="P210" s="34" t="str">
        <f t="shared" si="15"/>
        <v/>
      </c>
      <c r="R210" t="s">
        <v>113</v>
      </c>
      <c r="S210" s="1" t="str">
        <f t="shared" si="13"/>
        <v/>
      </c>
      <c r="T210" s="1"/>
      <c r="U210" s="35" t="str">
        <f t="shared" si="16"/>
        <v/>
      </c>
    </row>
    <row r="211" spans="12:21" x14ac:dyDescent="0.25">
      <c r="L211" s="26">
        <v>208</v>
      </c>
      <c r="M211" t="s">
        <v>112</v>
      </c>
      <c r="N211" s="1" t="str">
        <f t="shared" si="14"/>
        <v/>
      </c>
      <c r="O211" s="31"/>
      <c r="P211" s="34" t="str">
        <f t="shared" si="15"/>
        <v/>
      </c>
      <c r="R211" t="s">
        <v>112</v>
      </c>
      <c r="S211" s="1" t="str">
        <f t="shared" si="13"/>
        <v/>
      </c>
      <c r="T211" s="1"/>
      <c r="U211" s="35" t="str">
        <f t="shared" si="16"/>
        <v/>
      </c>
    </row>
    <row r="212" spans="12:21" x14ac:dyDescent="0.25">
      <c r="L212" s="26">
        <v>209</v>
      </c>
      <c r="M212" t="s">
        <v>111</v>
      </c>
      <c r="N212" s="1" t="str">
        <f t="shared" si="14"/>
        <v/>
      </c>
      <c r="O212" s="31"/>
      <c r="P212" s="34" t="str">
        <f t="shared" si="15"/>
        <v/>
      </c>
      <c r="R212" t="s">
        <v>111</v>
      </c>
      <c r="S212" s="1" t="str">
        <f t="shared" si="13"/>
        <v/>
      </c>
      <c r="T212" s="1"/>
      <c r="U212" s="35" t="str">
        <f t="shared" si="16"/>
        <v/>
      </c>
    </row>
    <row r="213" spans="12:21" x14ac:dyDescent="0.25">
      <c r="L213" s="26">
        <v>210</v>
      </c>
      <c r="M213" t="s">
        <v>110</v>
      </c>
      <c r="N213" s="1" t="str">
        <f t="shared" si="14"/>
        <v/>
      </c>
      <c r="O213" s="31"/>
      <c r="P213" s="34" t="str">
        <f t="shared" si="15"/>
        <v/>
      </c>
      <c r="R213" t="s">
        <v>110</v>
      </c>
      <c r="S213" s="1" t="str">
        <f t="shared" si="13"/>
        <v/>
      </c>
      <c r="T213" s="1"/>
      <c r="U213" s="35" t="str">
        <f t="shared" si="16"/>
        <v/>
      </c>
    </row>
    <row r="214" spans="12:21" x14ac:dyDescent="0.25">
      <c r="L214" s="26">
        <v>211</v>
      </c>
      <c r="M214" t="s">
        <v>109</v>
      </c>
      <c r="N214" s="1" t="str">
        <f t="shared" si="14"/>
        <v/>
      </c>
      <c r="O214" s="31"/>
      <c r="P214" s="34" t="str">
        <f t="shared" si="15"/>
        <v/>
      </c>
      <c r="R214" t="s">
        <v>109</v>
      </c>
      <c r="S214" s="1" t="str">
        <f t="shared" si="13"/>
        <v/>
      </c>
      <c r="T214" s="1"/>
      <c r="U214" s="35" t="str">
        <f t="shared" si="16"/>
        <v/>
      </c>
    </row>
    <row r="215" spans="12:21" x14ac:dyDescent="0.25">
      <c r="L215" s="26">
        <v>212</v>
      </c>
      <c r="M215" t="s">
        <v>108</v>
      </c>
      <c r="N215" s="1" t="str">
        <f t="shared" si="14"/>
        <v/>
      </c>
      <c r="O215" s="31"/>
      <c r="P215" s="34" t="str">
        <f t="shared" si="15"/>
        <v/>
      </c>
      <c r="R215" t="s">
        <v>108</v>
      </c>
      <c r="S215" s="1" t="str">
        <f t="shared" si="13"/>
        <v/>
      </c>
      <c r="T215" s="1"/>
      <c r="U215" s="35" t="str">
        <f t="shared" si="16"/>
        <v/>
      </c>
    </row>
    <row r="216" spans="12:21" x14ac:dyDescent="0.25">
      <c r="L216" s="26">
        <v>213</v>
      </c>
      <c r="M216" t="s">
        <v>107</v>
      </c>
      <c r="N216" s="1" t="str">
        <f t="shared" si="14"/>
        <v/>
      </c>
      <c r="O216" s="31"/>
      <c r="P216" s="34" t="str">
        <f t="shared" si="15"/>
        <v/>
      </c>
      <c r="R216" t="s">
        <v>107</v>
      </c>
      <c r="S216" s="1" t="str">
        <f t="shared" ref="S216:S252" si="17">IF(L216&gt;$I$2,"",E216/$D$3-1)</f>
        <v/>
      </c>
      <c r="T216" s="1"/>
      <c r="U216" s="35" t="str">
        <f t="shared" si="16"/>
        <v/>
      </c>
    </row>
    <row r="217" spans="12:21" x14ac:dyDescent="0.25">
      <c r="L217" s="26">
        <v>214</v>
      </c>
      <c r="M217" t="s">
        <v>106</v>
      </c>
      <c r="N217" s="1" t="str">
        <f t="shared" si="14"/>
        <v/>
      </c>
      <c r="O217" s="31"/>
      <c r="P217" s="34" t="str">
        <f t="shared" si="15"/>
        <v/>
      </c>
      <c r="R217" t="s">
        <v>106</v>
      </c>
      <c r="S217" s="1" t="str">
        <f t="shared" si="17"/>
        <v/>
      </c>
      <c r="T217" s="1"/>
      <c r="U217" s="35" t="str">
        <f t="shared" si="16"/>
        <v/>
      </c>
    </row>
    <row r="218" spans="12:21" x14ac:dyDescent="0.25">
      <c r="L218" s="26">
        <v>215</v>
      </c>
      <c r="M218" t="s">
        <v>105</v>
      </c>
      <c r="N218" s="1" t="str">
        <f t="shared" si="14"/>
        <v/>
      </c>
      <c r="O218" s="31"/>
      <c r="P218" s="34" t="str">
        <f t="shared" si="15"/>
        <v/>
      </c>
      <c r="R218" t="s">
        <v>105</v>
      </c>
      <c r="S218" s="1" t="str">
        <f t="shared" si="17"/>
        <v/>
      </c>
      <c r="T218" s="1"/>
      <c r="U218" s="35" t="str">
        <f t="shared" si="16"/>
        <v/>
      </c>
    </row>
    <row r="219" spans="12:21" x14ac:dyDescent="0.25">
      <c r="L219" s="26">
        <v>216</v>
      </c>
      <c r="M219" t="s">
        <v>104</v>
      </c>
      <c r="N219" s="1" t="str">
        <f t="shared" si="14"/>
        <v/>
      </c>
      <c r="O219" s="31"/>
      <c r="P219" s="34" t="str">
        <f t="shared" si="15"/>
        <v/>
      </c>
      <c r="R219" t="s">
        <v>104</v>
      </c>
      <c r="S219" s="1" t="str">
        <f t="shared" si="17"/>
        <v/>
      </c>
      <c r="T219" s="1"/>
      <c r="U219" s="35" t="str">
        <f t="shared" si="16"/>
        <v/>
      </c>
    </row>
    <row r="220" spans="12:21" x14ac:dyDescent="0.25">
      <c r="L220" s="26">
        <v>217</v>
      </c>
      <c r="M220" t="s">
        <v>103</v>
      </c>
      <c r="N220" s="1" t="str">
        <f t="shared" si="14"/>
        <v/>
      </c>
      <c r="O220" s="31"/>
      <c r="P220" s="34" t="str">
        <f t="shared" si="15"/>
        <v/>
      </c>
      <c r="R220" t="s">
        <v>103</v>
      </c>
      <c r="S220" s="1" t="str">
        <f t="shared" si="17"/>
        <v/>
      </c>
      <c r="T220" s="1"/>
      <c r="U220" s="35" t="str">
        <f t="shared" si="16"/>
        <v/>
      </c>
    </row>
    <row r="221" spans="12:21" x14ac:dyDescent="0.25">
      <c r="L221" s="26">
        <v>218</v>
      </c>
      <c r="M221" t="s">
        <v>102</v>
      </c>
      <c r="N221" s="1" t="str">
        <f t="shared" si="14"/>
        <v/>
      </c>
      <c r="O221" s="31"/>
      <c r="P221" s="34" t="str">
        <f t="shared" si="15"/>
        <v/>
      </c>
      <c r="R221" t="s">
        <v>102</v>
      </c>
      <c r="S221" s="1" t="str">
        <f t="shared" si="17"/>
        <v/>
      </c>
      <c r="T221" s="1"/>
      <c r="U221" s="35" t="str">
        <f t="shared" si="16"/>
        <v/>
      </c>
    </row>
    <row r="222" spans="12:21" x14ac:dyDescent="0.25">
      <c r="L222" s="26">
        <v>219</v>
      </c>
      <c r="M222" t="s">
        <v>101</v>
      </c>
      <c r="N222" s="1" t="str">
        <f t="shared" si="14"/>
        <v/>
      </c>
      <c r="O222" s="31"/>
      <c r="P222" s="34" t="str">
        <f t="shared" si="15"/>
        <v/>
      </c>
      <c r="R222" t="s">
        <v>101</v>
      </c>
      <c r="S222" s="1" t="str">
        <f t="shared" si="17"/>
        <v/>
      </c>
      <c r="T222" s="1"/>
      <c r="U222" s="35" t="str">
        <f t="shared" si="16"/>
        <v/>
      </c>
    </row>
    <row r="223" spans="12:21" x14ac:dyDescent="0.25">
      <c r="L223" s="26">
        <v>220</v>
      </c>
      <c r="M223" t="s">
        <v>100</v>
      </c>
      <c r="N223" s="1" t="str">
        <f t="shared" si="14"/>
        <v/>
      </c>
      <c r="O223" s="31"/>
      <c r="P223" s="34" t="str">
        <f t="shared" si="15"/>
        <v/>
      </c>
      <c r="R223" t="s">
        <v>100</v>
      </c>
      <c r="S223" s="1" t="str">
        <f t="shared" si="17"/>
        <v/>
      </c>
      <c r="T223" s="1"/>
      <c r="U223" s="35" t="str">
        <f t="shared" si="16"/>
        <v/>
      </c>
    </row>
    <row r="224" spans="12:21" x14ac:dyDescent="0.25">
      <c r="L224" s="26">
        <v>221</v>
      </c>
      <c r="M224" t="s">
        <v>99</v>
      </c>
      <c r="N224" s="1" t="str">
        <f t="shared" si="14"/>
        <v/>
      </c>
      <c r="O224" s="31"/>
      <c r="P224" s="34" t="str">
        <f t="shared" si="15"/>
        <v/>
      </c>
      <c r="R224" t="s">
        <v>99</v>
      </c>
      <c r="S224" s="1" t="str">
        <f t="shared" si="17"/>
        <v/>
      </c>
      <c r="T224" s="1"/>
      <c r="U224" s="35" t="str">
        <f t="shared" si="16"/>
        <v/>
      </c>
    </row>
    <row r="225" spans="12:21" x14ac:dyDescent="0.25">
      <c r="L225" s="26">
        <v>222</v>
      </c>
      <c r="M225" t="s">
        <v>98</v>
      </c>
      <c r="N225" s="1" t="str">
        <f t="shared" si="14"/>
        <v/>
      </c>
      <c r="O225" s="31"/>
      <c r="P225" s="34" t="str">
        <f t="shared" si="15"/>
        <v/>
      </c>
      <c r="R225" t="s">
        <v>98</v>
      </c>
      <c r="S225" s="1" t="str">
        <f t="shared" si="17"/>
        <v/>
      </c>
      <c r="T225" s="1"/>
      <c r="U225" s="35" t="str">
        <f t="shared" si="16"/>
        <v/>
      </c>
    </row>
    <row r="226" spans="12:21" x14ac:dyDescent="0.25">
      <c r="L226" s="26">
        <v>223</v>
      </c>
      <c r="M226" t="s">
        <v>97</v>
      </c>
      <c r="N226" s="1" t="str">
        <f t="shared" si="14"/>
        <v/>
      </c>
      <c r="O226" s="31"/>
      <c r="P226" s="34" t="str">
        <f t="shared" si="15"/>
        <v/>
      </c>
      <c r="R226" t="s">
        <v>97</v>
      </c>
      <c r="S226" s="1" t="str">
        <f t="shared" si="17"/>
        <v/>
      </c>
      <c r="T226" s="1"/>
      <c r="U226" s="35" t="str">
        <f t="shared" si="16"/>
        <v/>
      </c>
    </row>
    <row r="227" spans="12:21" x14ac:dyDescent="0.25">
      <c r="L227" s="26">
        <v>224</v>
      </c>
      <c r="M227" t="s">
        <v>96</v>
      </c>
      <c r="N227" s="1" t="str">
        <f t="shared" si="14"/>
        <v/>
      </c>
      <c r="O227" s="31"/>
      <c r="P227" s="34" t="str">
        <f t="shared" si="15"/>
        <v/>
      </c>
      <c r="R227" t="s">
        <v>96</v>
      </c>
      <c r="S227" s="1" t="str">
        <f t="shared" si="17"/>
        <v/>
      </c>
      <c r="T227" s="1"/>
      <c r="U227" s="35" t="str">
        <f t="shared" si="16"/>
        <v/>
      </c>
    </row>
    <row r="228" spans="12:21" x14ac:dyDescent="0.25">
      <c r="L228" s="26">
        <v>225</v>
      </c>
      <c r="M228" t="s">
        <v>95</v>
      </c>
      <c r="N228" s="1" t="str">
        <f t="shared" si="14"/>
        <v/>
      </c>
      <c r="O228" s="31"/>
      <c r="P228" s="34" t="str">
        <f t="shared" si="15"/>
        <v/>
      </c>
      <c r="R228" t="s">
        <v>95</v>
      </c>
      <c r="S228" s="1" t="str">
        <f t="shared" si="17"/>
        <v/>
      </c>
      <c r="T228" s="1"/>
      <c r="U228" s="35" t="str">
        <f t="shared" si="16"/>
        <v/>
      </c>
    </row>
    <row r="229" spans="12:21" x14ac:dyDescent="0.25">
      <c r="L229" s="26">
        <v>226</v>
      </c>
      <c r="M229" t="s">
        <v>94</v>
      </c>
      <c r="N229" s="1" t="str">
        <f t="shared" si="14"/>
        <v/>
      </c>
      <c r="O229" s="31"/>
      <c r="P229" s="34" t="str">
        <f t="shared" si="15"/>
        <v/>
      </c>
      <c r="R229" t="s">
        <v>94</v>
      </c>
      <c r="S229" s="1" t="str">
        <f t="shared" si="17"/>
        <v/>
      </c>
      <c r="T229" s="1"/>
      <c r="U229" s="35" t="str">
        <f t="shared" si="16"/>
        <v/>
      </c>
    </row>
    <row r="230" spans="12:21" x14ac:dyDescent="0.25">
      <c r="L230" s="26">
        <v>227</v>
      </c>
      <c r="M230" t="s">
        <v>93</v>
      </c>
      <c r="N230" s="1" t="str">
        <f t="shared" si="14"/>
        <v/>
      </c>
      <c r="O230" s="31"/>
      <c r="P230" s="34" t="str">
        <f t="shared" si="15"/>
        <v/>
      </c>
      <c r="R230" t="s">
        <v>93</v>
      </c>
      <c r="S230" s="1" t="str">
        <f t="shared" si="17"/>
        <v/>
      </c>
      <c r="T230" s="1"/>
      <c r="U230" s="35" t="str">
        <f t="shared" si="16"/>
        <v/>
      </c>
    </row>
    <row r="231" spans="12:21" x14ac:dyDescent="0.25">
      <c r="L231" s="26">
        <v>228</v>
      </c>
      <c r="M231" t="s">
        <v>92</v>
      </c>
      <c r="N231" s="1" t="str">
        <f t="shared" si="14"/>
        <v/>
      </c>
      <c r="O231" s="31"/>
      <c r="P231" s="34" t="str">
        <f t="shared" si="15"/>
        <v/>
      </c>
      <c r="R231" t="s">
        <v>92</v>
      </c>
      <c r="S231" s="1" t="str">
        <f t="shared" si="17"/>
        <v/>
      </c>
      <c r="T231" s="1"/>
      <c r="U231" s="35" t="str">
        <f t="shared" si="16"/>
        <v/>
      </c>
    </row>
    <row r="232" spans="12:21" x14ac:dyDescent="0.25">
      <c r="L232" s="26">
        <v>229</v>
      </c>
      <c r="M232" t="s">
        <v>91</v>
      </c>
      <c r="N232" s="1" t="str">
        <f t="shared" si="14"/>
        <v/>
      </c>
      <c r="O232" s="31"/>
      <c r="P232" s="34" t="str">
        <f t="shared" si="15"/>
        <v/>
      </c>
      <c r="R232" t="s">
        <v>91</v>
      </c>
      <c r="S232" s="1" t="str">
        <f t="shared" si="17"/>
        <v/>
      </c>
      <c r="T232" s="1"/>
      <c r="U232" s="35" t="str">
        <f t="shared" si="16"/>
        <v/>
      </c>
    </row>
    <row r="233" spans="12:21" x14ac:dyDescent="0.25">
      <c r="L233" s="26">
        <v>230</v>
      </c>
      <c r="M233" t="s">
        <v>90</v>
      </c>
      <c r="N233" s="1" t="str">
        <f t="shared" si="14"/>
        <v/>
      </c>
      <c r="O233" s="31"/>
      <c r="P233" s="34" t="str">
        <f t="shared" si="15"/>
        <v/>
      </c>
      <c r="R233" t="s">
        <v>90</v>
      </c>
      <c r="S233" s="1" t="str">
        <f t="shared" si="17"/>
        <v/>
      </c>
      <c r="T233" s="1"/>
      <c r="U233" s="35" t="str">
        <f t="shared" si="16"/>
        <v/>
      </c>
    </row>
    <row r="234" spans="12:21" x14ac:dyDescent="0.25">
      <c r="L234" s="26">
        <v>231</v>
      </c>
      <c r="M234" t="s">
        <v>89</v>
      </c>
      <c r="N234" s="1" t="str">
        <f t="shared" si="14"/>
        <v/>
      </c>
      <c r="O234" s="31"/>
      <c r="P234" s="34" t="str">
        <f t="shared" si="15"/>
        <v/>
      </c>
      <c r="R234" t="s">
        <v>89</v>
      </c>
      <c r="S234" s="1" t="str">
        <f t="shared" si="17"/>
        <v/>
      </c>
      <c r="T234" s="1"/>
      <c r="U234" s="35" t="str">
        <f t="shared" si="16"/>
        <v/>
      </c>
    </row>
    <row r="235" spans="12:21" x14ac:dyDescent="0.25">
      <c r="L235" s="26">
        <v>232</v>
      </c>
      <c r="M235" t="s">
        <v>88</v>
      </c>
      <c r="N235" s="1" t="str">
        <f t="shared" si="14"/>
        <v/>
      </c>
      <c r="O235" s="31"/>
      <c r="P235" s="34" t="str">
        <f t="shared" si="15"/>
        <v/>
      </c>
      <c r="R235" t="s">
        <v>88</v>
      </c>
      <c r="S235" s="1" t="str">
        <f t="shared" si="17"/>
        <v/>
      </c>
      <c r="T235" s="1"/>
      <c r="U235" s="35" t="str">
        <f t="shared" si="16"/>
        <v/>
      </c>
    </row>
    <row r="236" spans="12:21" x14ac:dyDescent="0.25">
      <c r="L236" s="26">
        <v>233</v>
      </c>
      <c r="M236" t="s">
        <v>87</v>
      </c>
      <c r="N236" s="1" t="str">
        <f t="shared" si="14"/>
        <v/>
      </c>
      <c r="O236" s="31"/>
      <c r="P236" s="34" t="str">
        <f t="shared" si="15"/>
        <v/>
      </c>
      <c r="R236" t="s">
        <v>87</v>
      </c>
      <c r="S236" s="1" t="str">
        <f t="shared" si="17"/>
        <v/>
      </c>
      <c r="T236" s="1"/>
      <c r="U236" s="35" t="str">
        <f t="shared" si="16"/>
        <v/>
      </c>
    </row>
    <row r="237" spans="12:21" x14ac:dyDescent="0.25">
      <c r="L237" s="26">
        <v>234</v>
      </c>
      <c r="M237" t="s">
        <v>86</v>
      </c>
      <c r="N237" s="1" t="str">
        <f t="shared" si="14"/>
        <v/>
      </c>
      <c r="O237" s="31"/>
      <c r="P237" s="34" t="str">
        <f t="shared" si="15"/>
        <v/>
      </c>
      <c r="R237" t="s">
        <v>86</v>
      </c>
      <c r="S237" s="1" t="str">
        <f t="shared" si="17"/>
        <v/>
      </c>
      <c r="T237" s="1"/>
      <c r="U237" s="35" t="str">
        <f t="shared" si="16"/>
        <v/>
      </c>
    </row>
    <row r="238" spans="12:21" x14ac:dyDescent="0.25">
      <c r="L238" s="26">
        <v>235</v>
      </c>
      <c r="M238" t="s">
        <v>85</v>
      </c>
      <c r="N238" s="1" t="str">
        <f t="shared" si="14"/>
        <v/>
      </c>
      <c r="O238" s="31"/>
      <c r="P238" s="34" t="str">
        <f t="shared" si="15"/>
        <v/>
      </c>
      <c r="R238" t="s">
        <v>85</v>
      </c>
      <c r="S238" s="1" t="str">
        <f t="shared" si="17"/>
        <v/>
      </c>
      <c r="T238" s="1"/>
      <c r="U238" s="35" t="str">
        <f t="shared" si="16"/>
        <v/>
      </c>
    </row>
    <row r="239" spans="12:21" x14ac:dyDescent="0.25">
      <c r="L239" s="26">
        <v>236</v>
      </c>
      <c r="M239" t="s">
        <v>84</v>
      </c>
      <c r="N239" s="1" t="str">
        <f t="shared" si="14"/>
        <v/>
      </c>
      <c r="O239" s="31"/>
      <c r="P239" s="34" t="str">
        <f t="shared" si="15"/>
        <v/>
      </c>
      <c r="R239" t="s">
        <v>84</v>
      </c>
      <c r="S239" s="1" t="str">
        <f t="shared" si="17"/>
        <v/>
      </c>
      <c r="T239" s="1"/>
      <c r="U239" s="35" t="str">
        <f t="shared" si="16"/>
        <v/>
      </c>
    </row>
    <row r="240" spans="12:21" x14ac:dyDescent="0.25">
      <c r="L240" s="26">
        <v>237</v>
      </c>
      <c r="M240" t="s">
        <v>83</v>
      </c>
      <c r="N240" s="1" t="str">
        <f t="shared" si="14"/>
        <v/>
      </c>
      <c r="O240" s="31"/>
      <c r="P240" s="34" t="str">
        <f t="shared" si="15"/>
        <v/>
      </c>
      <c r="R240" t="s">
        <v>83</v>
      </c>
      <c r="S240" s="1" t="str">
        <f t="shared" si="17"/>
        <v/>
      </c>
      <c r="T240" s="1"/>
      <c r="U240" s="35" t="str">
        <f t="shared" si="16"/>
        <v/>
      </c>
    </row>
    <row r="241" spans="12:21" x14ac:dyDescent="0.25">
      <c r="L241" s="26">
        <v>238</v>
      </c>
      <c r="M241" t="s">
        <v>82</v>
      </c>
      <c r="N241" s="1" t="str">
        <f t="shared" si="14"/>
        <v/>
      </c>
      <c r="O241" s="31"/>
      <c r="P241" s="34" t="str">
        <f t="shared" si="15"/>
        <v/>
      </c>
      <c r="R241" t="s">
        <v>82</v>
      </c>
      <c r="S241" s="1" t="str">
        <f t="shared" si="17"/>
        <v/>
      </c>
      <c r="T241" s="1"/>
      <c r="U241" s="35" t="str">
        <f t="shared" si="16"/>
        <v/>
      </c>
    </row>
    <row r="242" spans="12:21" x14ac:dyDescent="0.25">
      <c r="L242" s="26">
        <v>239</v>
      </c>
      <c r="M242" t="s">
        <v>81</v>
      </c>
      <c r="N242" s="1" t="str">
        <f t="shared" si="14"/>
        <v/>
      </c>
      <c r="O242" s="31"/>
      <c r="P242" s="34" t="str">
        <f t="shared" si="15"/>
        <v/>
      </c>
      <c r="R242" t="s">
        <v>81</v>
      </c>
      <c r="S242" s="1" t="str">
        <f t="shared" si="17"/>
        <v/>
      </c>
      <c r="T242" s="1"/>
      <c r="U242" s="35" t="str">
        <f t="shared" si="16"/>
        <v/>
      </c>
    </row>
    <row r="243" spans="12:21" x14ac:dyDescent="0.25">
      <c r="L243" s="26">
        <v>240</v>
      </c>
      <c r="M243" t="s">
        <v>80</v>
      </c>
      <c r="N243" s="1" t="str">
        <f t="shared" si="14"/>
        <v/>
      </c>
      <c r="O243" s="31"/>
      <c r="P243" s="34" t="str">
        <f t="shared" si="15"/>
        <v/>
      </c>
      <c r="R243" t="s">
        <v>80</v>
      </c>
      <c r="S243" s="1" t="str">
        <f t="shared" si="17"/>
        <v/>
      </c>
      <c r="T243" s="1"/>
      <c r="U243" s="35" t="str">
        <f t="shared" si="16"/>
        <v/>
      </c>
    </row>
    <row r="244" spans="12:21" x14ac:dyDescent="0.25">
      <c r="L244" s="26">
        <v>241</v>
      </c>
      <c r="M244" t="s">
        <v>79</v>
      </c>
      <c r="N244" s="1" t="str">
        <f t="shared" si="14"/>
        <v/>
      </c>
      <c r="O244" s="31"/>
      <c r="P244" s="34" t="str">
        <f t="shared" si="15"/>
        <v/>
      </c>
      <c r="R244" t="s">
        <v>79</v>
      </c>
      <c r="S244" s="1" t="str">
        <f t="shared" si="17"/>
        <v/>
      </c>
      <c r="T244" s="1"/>
      <c r="U244" s="35" t="str">
        <f t="shared" si="16"/>
        <v/>
      </c>
    </row>
    <row r="245" spans="12:21" x14ac:dyDescent="0.25">
      <c r="L245" s="26">
        <v>242</v>
      </c>
      <c r="M245" t="s">
        <v>78</v>
      </c>
      <c r="N245" s="1" t="str">
        <f t="shared" si="14"/>
        <v/>
      </c>
      <c r="O245" s="31"/>
      <c r="P245" s="34" t="str">
        <f t="shared" si="15"/>
        <v/>
      </c>
      <c r="R245" t="s">
        <v>78</v>
      </c>
      <c r="S245" s="1" t="str">
        <f t="shared" si="17"/>
        <v/>
      </c>
      <c r="T245" s="1"/>
      <c r="U245" s="35" t="str">
        <f t="shared" si="16"/>
        <v/>
      </c>
    </row>
    <row r="246" spans="12:21" x14ac:dyDescent="0.25">
      <c r="L246" s="26">
        <v>243</v>
      </c>
      <c r="M246" t="s">
        <v>77</v>
      </c>
      <c r="N246" s="1" t="str">
        <f t="shared" si="14"/>
        <v/>
      </c>
      <c r="O246" s="31"/>
      <c r="P246" s="34" t="str">
        <f t="shared" si="15"/>
        <v/>
      </c>
      <c r="R246" t="s">
        <v>77</v>
      </c>
      <c r="S246" s="1" t="str">
        <f t="shared" si="17"/>
        <v/>
      </c>
      <c r="T246" s="1"/>
      <c r="U246" s="35" t="str">
        <f t="shared" si="16"/>
        <v/>
      </c>
    </row>
    <row r="247" spans="12:21" x14ac:dyDescent="0.25">
      <c r="L247" s="26">
        <v>244</v>
      </c>
      <c r="M247" t="s">
        <v>76</v>
      </c>
      <c r="N247" s="1" t="str">
        <f t="shared" si="14"/>
        <v/>
      </c>
      <c r="O247" s="31"/>
      <c r="P247" s="34" t="str">
        <f t="shared" si="15"/>
        <v/>
      </c>
      <c r="R247" t="s">
        <v>76</v>
      </c>
      <c r="S247" s="1" t="str">
        <f t="shared" si="17"/>
        <v/>
      </c>
      <c r="T247" s="1"/>
      <c r="U247" s="35" t="str">
        <f t="shared" si="16"/>
        <v/>
      </c>
    </row>
    <row r="248" spans="12:21" x14ac:dyDescent="0.25">
      <c r="L248" s="26">
        <v>245</v>
      </c>
      <c r="M248" t="s">
        <v>75</v>
      </c>
      <c r="N248" s="1" t="str">
        <f t="shared" si="14"/>
        <v/>
      </c>
      <c r="O248" s="31"/>
      <c r="P248" s="34" t="str">
        <f t="shared" si="15"/>
        <v/>
      </c>
      <c r="R248" t="s">
        <v>75</v>
      </c>
      <c r="S248" s="1" t="str">
        <f t="shared" si="17"/>
        <v/>
      </c>
      <c r="T248" s="1"/>
      <c r="U248" s="35" t="str">
        <f t="shared" si="16"/>
        <v/>
      </c>
    </row>
    <row r="249" spans="12:21" x14ac:dyDescent="0.25">
      <c r="L249" s="26">
        <v>246</v>
      </c>
      <c r="M249" t="s">
        <v>74</v>
      </c>
      <c r="N249" s="1" t="str">
        <f t="shared" si="14"/>
        <v/>
      </c>
      <c r="O249" s="31"/>
      <c r="P249" s="34" t="str">
        <f t="shared" si="15"/>
        <v/>
      </c>
      <c r="R249" t="s">
        <v>74</v>
      </c>
      <c r="S249" s="1" t="str">
        <f t="shared" si="17"/>
        <v/>
      </c>
      <c r="T249" s="1"/>
      <c r="U249" s="35" t="str">
        <f t="shared" si="16"/>
        <v/>
      </c>
    </row>
    <row r="250" spans="12:21" x14ac:dyDescent="0.25">
      <c r="L250" s="26">
        <v>247</v>
      </c>
      <c r="M250" t="s">
        <v>73</v>
      </c>
      <c r="N250" s="1" t="str">
        <f t="shared" si="14"/>
        <v/>
      </c>
      <c r="O250" s="31"/>
      <c r="P250" s="34" t="str">
        <f t="shared" si="15"/>
        <v/>
      </c>
      <c r="R250" t="s">
        <v>73</v>
      </c>
      <c r="S250" s="1" t="str">
        <f t="shared" si="17"/>
        <v/>
      </c>
      <c r="T250" s="1"/>
      <c r="U250" s="35" t="str">
        <f t="shared" si="16"/>
        <v/>
      </c>
    </row>
    <row r="251" spans="12:21" x14ac:dyDescent="0.25">
      <c r="L251" s="26">
        <v>248</v>
      </c>
      <c r="M251" t="s">
        <v>72</v>
      </c>
      <c r="N251" s="1" t="str">
        <f t="shared" si="14"/>
        <v/>
      </c>
      <c r="O251" s="31"/>
      <c r="P251" s="34" t="str">
        <f t="shared" si="15"/>
        <v/>
      </c>
      <c r="R251" t="s">
        <v>72</v>
      </c>
      <c r="S251" s="1" t="str">
        <f t="shared" si="17"/>
        <v/>
      </c>
      <c r="T251" s="1"/>
      <c r="U251" s="35" t="str">
        <f t="shared" si="16"/>
        <v/>
      </c>
    </row>
    <row r="252" spans="12:21" x14ac:dyDescent="0.25">
      <c r="L252" s="26">
        <v>249</v>
      </c>
      <c r="M252" t="s">
        <v>71</v>
      </c>
      <c r="N252" s="1" t="str">
        <f t="shared" si="14"/>
        <v/>
      </c>
      <c r="O252" s="31"/>
      <c r="P252" s="34" t="str">
        <f t="shared" si="15"/>
        <v/>
      </c>
      <c r="R252" t="s">
        <v>71</v>
      </c>
      <c r="S252" s="1" t="str">
        <f t="shared" si="17"/>
        <v/>
      </c>
      <c r="T252" s="1"/>
      <c r="U252" s="35" t="str">
        <f t="shared" si="16"/>
        <v/>
      </c>
    </row>
    <row r="253" spans="12:21" x14ac:dyDescent="0.25">
      <c r="L253" s="26">
        <v>250</v>
      </c>
      <c r="M253" t="s">
        <v>70</v>
      </c>
      <c r="N253" s="1" t="str">
        <f>IF(L253&gt;$I$2,"",F253/$D$3-1)</f>
        <v/>
      </c>
      <c r="O253" s="31"/>
      <c r="P253" s="34" t="str">
        <f t="shared" si="15"/>
        <v/>
      </c>
      <c r="R253" t="s">
        <v>70</v>
      </c>
      <c r="S253" s="1" t="str">
        <f>IF(L253&gt;$I$2,"",E253/$D$3-1)</f>
        <v/>
      </c>
      <c r="T253" s="1"/>
      <c r="U253" s="35" t="str">
        <f t="shared" si="16"/>
        <v/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8C8D9-B6B1-400E-B14A-8D4A937FCDD6}">
  <dimension ref="A1:U253"/>
  <sheetViews>
    <sheetView workbookViewId="0"/>
  </sheetViews>
  <sheetFormatPr defaultRowHeight="16.5" x14ac:dyDescent="0.25"/>
  <sheetData>
    <row r="1" spans="1:21" x14ac:dyDescent="0.25">
      <c r="A1" s="2" t="str">
        <f>"cmoneylookup|"&amp;B1&amp;回測表!A7&amp;C1&amp;回測表!B7&amp;D1&amp;回測表!C7&amp;E1</f>
        <v>cmoneylookup|&lt;&lt;LKQbXHjQyC$VmN7^hIU0FLBkWHRMfHRZ2BDwHUWcFQGVRF7Z8D73XRQndMUIkCEvVAEV{GRQBB9VOBog40GJyFjAhAkQBAGniJ93dD9RWE80gAQMTFlrHFAFN4V0r5X8HHBAHRQnvMUIkCFJT&gt;&gt;20100315&lt;&lt;21}JyAAAsUmVpIQjuMEsC&gt;&gt;20100406&lt;&lt;21}JyAAAsUmV7MQIfP$NZ2V7z&gt;&gt;3534&lt;&lt;21}Jy6}vxC8^XB{$Pn0eR{EP6bg6kl{iLqGHFcMH0tm{Pd^aejv7yqeRDkeyWswTMYw1BlD2IaGnJBkjI2UUR}fP8n{}liOCDqsuV9v}UL}8HGBnXFl8PqtLYv3bulwkgV$VmN8^7N{8bRjr2FnYc8fGlRQvdITQ7CCFWMmZJL9EpRQj8MWM$CCfnJlBA0RbBAT74WRE323h3ktQz&gt;&gt;</v>
      </c>
      <c r="B1" s="2" t="s">
        <v>64</v>
      </c>
      <c r="C1" s="2" t="s">
        <v>7</v>
      </c>
      <c r="D1" s="2" t="s">
        <v>8</v>
      </c>
      <c r="E1" s="2" t="s">
        <v>24</v>
      </c>
      <c r="F1" s="2"/>
    </row>
    <row r="2" spans="1:21" x14ac:dyDescent="0.25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6" t="s">
        <v>14</v>
      </c>
      <c r="H2" s="3" t="s">
        <v>28</v>
      </c>
      <c r="I2" s="28">
        <f>COUNTA(A:A)-3</f>
        <v>15</v>
      </c>
      <c r="M2" t="s">
        <v>294</v>
      </c>
      <c r="N2" s="30">
        <f>MIN($N$4:$N$4000)</f>
        <v>0</v>
      </c>
      <c r="O2" s="37" t="s">
        <v>307</v>
      </c>
      <c r="P2" s="38">
        <v>1</v>
      </c>
      <c r="R2" t="s">
        <v>296</v>
      </c>
      <c r="S2" s="30">
        <f>MAX($S$4:$S$4000)</f>
        <v>0.29385336009941687</v>
      </c>
      <c r="T2" s="37" t="s">
        <v>298</v>
      </c>
      <c r="U2" s="25">
        <v>1</v>
      </c>
    </row>
    <row r="3" spans="1:21" x14ac:dyDescent="0.25">
      <c r="A3" s="26">
        <v>20100315</v>
      </c>
      <c r="B3" s="26">
        <v>3534</v>
      </c>
      <c r="C3" s="26" t="s">
        <v>320</v>
      </c>
      <c r="D3" s="26">
        <v>104.61</v>
      </c>
      <c r="E3" s="26">
        <v>111.49</v>
      </c>
      <c r="F3" s="26">
        <v>104.61</v>
      </c>
      <c r="H3" s="3" t="s">
        <v>38</v>
      </c>
      <c r="I3" s="29">
        <f>IF($I$2&lt;5,"",D8/D3-1)</f>
        <v>3.0685402925150429E-2</v>
      </c>
      <c r="M3" t="s">
        <v>293</v>
      </c>
      <c r="N3">
        <f>IF(ISERROR(INDEX($A$4:$A$4000,MATCH($N$2,$N$4:$N$4000,0))),"",INDEX($A$4:$A$4000,MATCH($N$2,$N$4:$N$4000,0)))</f>
        <v>20100316</v>
      </c>
      <c r="O3" t="s">
        <v>293</v>
      </c>
      <c r="P3" s="25" t="str">
        <f>IF(ISERROR(INDEX($A$4:$A$4000,MATCH($P$2,$P$4:$P$4000,0))),"",INDEX($A$4:$A$4000,MATCH($P$2,$P$4:$P$4000,0)))</f>
        <v/>
      </c>
      <c r="R3" t="s">
        <v>293</v>
      </c>
      <c r="S3">
        <f>IF(ISERROR(INDEX($A$4:$A$4000,MATCH($S$2,$S$4:$S$4000,0))),"",INDEX($A$4:$A$4000,MATCH($S$2,$S$4:$S$4000,0)))</f>
        <v>20100406</v>
      </c>
      <c r="T3" t="s">
        <v>293</v>
      </c>
      <c r="U3" s="25">
        <f>IF(ISERROR(INDEX($A$4:$A$4000,MATCH($U$2,$U$4:$U$4000,0))),"",INDEX($A$4:$A$4000,MATCH($U$2,$U$4:$U$4000,0)))</f>
        <v>20100402</v>
      </c>
    </row>
    <row r="4" spans="1:21" x14ac:dyDescent="0.25">
      <c r="A4" s="26">
        <v>20100316</v>
      </c>
      <c r="B4" s="26">
        <v>3534</v>
      </c>
      <c r="C4" s="26" t="s">
        <v>320</v>
      </c>
      <c r="D4" s="26">
        <v>106.91</v>
      </c>
      <c r="E4" s="26">
        <v>107.36</v>
      </c>
      <c r="F4" s="26">
        <v>104.61</v>
      </c>
      <c r="H4" s="3" t="s">
        <v>29</v>
      </c>
      <c r="I4" s="29">
        <f>IF($I$2&lt;10,"",D13/D3-1)</f>
        <v>0.11843991970174939</v>
      </c>
      <c r="K4" t="s">
        <v>65</v>
      </c>
      <c r="L4" s="26">
        <v>1</v>
      </c>
      <c r="M4" t="s">
        <v>39</v>
      </c>
      <c r="N4" s="1">
        <f>IF(L4&gt;$I$2,"",F4/$D$3-1)</f>
        <v>0</v>
      </c>
      <c r="O4" s="31"/>
      <c r="P4" s="34" t="str">
        <f>IF(AND(L4&lt;=$I$2,N4&lt;= -0.1),1,"")</f>
        <v/>
      </c>
      <c r="Q4" t="s">
        <v>295</v>
      </c>
      <c r="R4" t="s">
        <v>39</v>
      </c>
      <c r="S4" s="1">
        <f>IF(L4&gt;$I$2,"",E4/$D$3-1)</f>
        <v>2.6288117770767672E-2</v>
      </c>
      <c r="T4" s="1"/>
      <c r="U4" s="35" t="str">
        <f>IF(AND(L4&lt;=$I$2,S4&gt;=0.2),1,"")</f>
        <v/>
      </c>
    </row>
    <row r="5" spans="1:21" x14ac:dyDescent="0.25">
      <c r="A5" s="26">
        <v>20100317</v>
      </c>
      <c r="B5" s="26">
        <v>3534</v>
      </c>
      <c r="C5" s="26" t="s">
        <v>320</v>
      </c>
      <c r="D5" s="26">
        <v>107.82</v>
      </c>
      <c r="E5" s="26">
        <v>108.74</v>
      </c>
      <c r="F5" s="26">
        <v>105.53</v>
      </c>
      <c r="H5" s="3" t="s">
        <v>31</v>
      </c>
      <c r="I5" s="29" t="str">
        <f>IF($I$2&lt;20,"",D23/D3-1)</f>
        <v/>
      </c>
      <c r="L5" s="26">
        <v>2</v>
      </c>
      <c r="M5" t="s">
        <v>40</v>
      </c>
      <c r="N5" s="1">
        <f t="shared" ref="N5:N68" si="0">IF(L5&gt;$I$2,"",F5/$D$3-1)</f>
        <v>8.7945703087659588E-3</v>
      </c>
      <c r="O5" s="31"/>
      <c r="P5" s="34" t="str">
        <f t="shared" ref="P5:P68" si="1">IF(AND(L5&lt;=$I$2,N5&lt;= -0.1),1,"")</f>
        <v/>
      </c>
      <c r="R5" t="s">
        <v>40</v>
      </c>
      <c r="S5" s="1">
        <f>IF(L5&gt;$I$2,"",E5/$D$3-1)</f>
        <v>3.9479973233916388E-2</v>
      </c>
      <c r="T5" s="1"/>
      <c r="U5" s="35" t="str">
        <f t="shared" ref="U5:U68" si="2">IF(AND(L5&lt;=$I$2,S5&gt;=0.2),1,"")</f>
        <v/>
      </c>
    </row>
    <row r="6" spans="1:21" x14ac:dyDescent="0.25">
      <c r="A6" s="26">
        <v>20100318</v>
      </c>
      <c r="B6" s="26">
        <v>3534</v>
      </c>
      <c r="C6" s="26" t="s">
        <v>320</v>
      </c>
      <c r="D6" s="26">
        <v>108.28</v>
      </c>
      <c r="E6" s="26">
        <v>109.2</v>
      </c>
      <c r="F6" s="26">
        <v>107.36</v>
      </c>
      <c r="L6" s="26">
        <v>3</v>
      </c>
      <c r="M6" t="s">
        <v>41</v>
      </c>
      <c r="N6" s="1">
        <f t="shared" si="0"/>
        <v>2.6288117770767672E-2</v>
      </c>
      <c r="O6" s="31"/>
      <c r="P6" s="34" t="str">
        <f t="shared" si="1"/>
        <v/>
      </c>
      <c r="R6" t="s">
        <v>41</v>
      </c>
      <c r="S6" s="1">
        <f>IF(L6&gt;$I$2,"",E6/$D$3-1)</f>
        <v>4.3877258388299367E-2</v>
      </c>
      <c r="T6" s="1"/>
      <c r="U6" s="35" t="str">
        <f t="shared" si="2"/>
        <v/>
      </c>
    </row>
    <row r="7" spans="1:21" x14ac:dyDescent="0.25">
      <c r="A7" s="26">
        <v>20100319</v>
      </c>
      <c r="B7" s="26">
        <v>3534</v>
      </c>
      <c r="C7" s="26" t="s">
        <v>320</v>
      </c>
      <c r="D7" s="26">
        <v>106.45</v>
      </c>
      <c r="E7" s="26">
        <v>109.2</v>
      </c>
      <c r="F7" s="26">
        <v>106.45</v>
      </c>
      <c r="L7" s="26">
        <v>4</v>
      </c>
      <c r="M7" t="s">
        <v>42</v>
      </c>
      <c r="N7" s="1">
        <f t="shared" si="0"/>
        <v>1.7589140617531918E-2</v>
      </c>
      <c r="O7" s="31"/>
      <c r="P7" s="34" t="str">
        <f t="shared" si="1"/>
        <v/>
      </c>
      <c r="R7" t="s">
        <v>42</v>
      </c>
      <c r="S7" s="1">
        <f t="shared" ref="S7:S11" si="3">IF(L7&gt;$I$2,"",E7/$D$3-1)</f>
        <v>4.3877258388299367E-2</v>
      </c>
      <c r="T7" s="1"/>
      <c r="U7" s="35" t="str">
        <f t="shared" si="2"/>
        <v/>
      </c>
    </row>
    <row r="8" spans="1:21" x14ac:dyDescent="0.25">
      <c r="A8" s="26">
        <v>20100322</v>
      </c>
      <c r="B8" s="26">
        <v>3534</v>
      </c>
      <c r="C8" s="26" t="s">
        <v>320</v>
      </c>
      <c r="D8" s="26">
        <v>107.82</v>
      </c>
      <c r="E8" s="26">
        <v>109.66</v>
      </c>
      <c r="F8" s="26">
        <v>105.53</v>
      </c>
      <c r="L8" s="26">
        <v>5</v>
      </c>
      <c r="M8" t="s">
        <v>37</v>
      </c>
      <c r="N8" s="1">
        <f t="shared" si="0"/>
        <v>8.7945703087659588E-3</v>
      </c>
      <c r="O8" s="31"/>
      <c r="P8" s="34" t="str">
        <f t="shared" si="1"/>
        <v/>
      </c>
      <c r="R8" t="s">
        <v>37</v>
      </c>
      <c r="S8" s="1">
        <f t="shared" si="3"/>
        <v>4.8274543542682347E-2</v>
      </c>
      <c r="T8" s="1"/>
      <c r="U8" s="35" t="str">
        <f t="shared" si="2"/>
        <v/>
      </c>
    </row>
    <row r="9" spans="1:21" x14ac:dyDescent="0.25">
      <c r="A9" s="26">
        <v>20100323</v>
      </c>
      <c r="B9" s="26">
        <v>3534</v>
      </c>
      <c r="C9" s="26" t="s">
        <v>320</v>
      </c>
      <c r="D9" s="26">
        <v>108.74</v>
      </c>
      <c r="E9" s="26">
        <v>112.41</v>
      </c>
      <c r="F9" s="26">
        <v>108.28</v>
      </c>
      <c r="L9" s="26">
        <v>6</v>
      </c>
      <c r="M9" t="s">
        <v>43</v>
      </c>
      <c r="N9" s="1">
        <f t="shared" si="0"/>
        <v>3.508268807953363E-2</v>
      </c>
      <c r="O9" s="31"/>
      <c r="P9" s="34" t="str">
        <f t="shared" si="1"/>
        <v/>
      </c>
      <c r="R9" t="s">
        <v>43</v>
      </c>
      <c r="S9" s="1">
        <f t="shared" si="3"/>
        <v>7.4562661313450018E-2</v>
      </c>
      <c r="T9" s="1"/>
      <c r="U9" s="35" t="str">
        <f t="shared" si="2"/>
        <v/>
      </c>
    </row>
    <row r="10" spans="1:21" x14ac:dyDescent="0.25">
      <c r="A10" s="26">
        <v>20100324</v>
      </c>
      <c r="B10" s="26">
        <v>3534</v>
      </c>
      <c r="C10" s="26" t="s">
        <v>320</v>
      </c>
      <c r="D10" s="26">
        <v>111.95</v>
      </c>
      <c r="E10" s="26">
        <v>114.71</v>
      </c>
      <c r="F10" s="26">
        <v>110.12</v>
      </c>
      <c r="L10" s="26">
        <v>7</v>
      </c>
      <c r="M10" t="s">
        <v>44</v>
      </c>
      <c r="N10" s="1">
        <f t="shared" si="0"/>
        <v>5.2671828697065326E-2</v>
      </c>
      <c r="O10" s="31"/>
      <c r="P10" s="34" t="str">
        <f t="shared" si="1"/>
        <v/>
      </c>
      <c r="R10" t="s">
        <v>44</v>
      </c>
      <c r="S10" s="1">
        <f t="shared" si="3"/>
        <v>9.6549087085364693E-2</v>
      </c>
      <c r="T10" s="1"/>
      <c r="U10" s="35" t="str">
        <f t="shared" si="2"/>
        <v/>
      </c>
    </row>
    <row r="11" spans="1:21" x14ac:dyDescent="0.25">
      <c r="A11" s="26">
        <v>20100325</v>
      </c>
      <c r="B11" s="26">
        <v>3534</v>
      </c>
      <c r="C11" s="26" t="s">
        <v>320</v>
      </c>
      <c r="D11" s="26">
        <v>115.62</v>
      </c>
      <c r="E11" s="26">
        <v>116.54</v>
      </c>
      <c r="F11" s="26">
        <v>111.04</v>
      </c>
      <c r="L11" s="26">
        <v>8</v>
      </c>
      <c r="M11" t="s">
        <v>45</v>
      </c>
      <c r="N11" s="1">
        <f t="shared" si="0"/>
        <v>6.1466399005831285E-2</v>
      </c>
      <c r="O11" s="31"/>
      <c r="P11" s="34" t="str">
        <f t="shared" si="1"/>
        <v/>
      </c>
      <c r="R11" t="s">
        <v>45</v>
      </c>
      <c r="S11" s="1">
        <f t="shared" si="3"/>
        <v>0.11404263454736641</v>
      </c>
      <c r="T11" s="1"/>
      <c r="U11" s="35" t="str">
        <f t="shared" si="2"/>
        <v/>
      </c>
    </row>
    <row r="12" spans="1:21" x14ac:dyDescent="0.25">
      <c r="A12" s="26">
        <v>20100326</v>
      </c>
      <c r="B12" s="26">
        <v>3534</v>
      </c>
      <c r="C12" s="26" t="s">
        <v>320</v>
      </c>
      <c r="D12" s="26">
        <v>113.79</v>
      </c>
      <c r="E12" s="26">
        <v>116.08</v>
      </c>
      <c r="F12" s="26">
        <v>111.95</v>
      </c>
      <c r="L12" s="26">
        <v>9</v>
      </c>
      <c r="M12" t="s">
        <v>46</v>
      </c>
      <c r="N12" s="1">
        <f>IF(L12&gt;$I$2,"",F12/$D$3-1)</f>
        <v>7.0165376159067039E-2</v>
      </c>
      <c r="O12" s="31"/>
      <c r="P12" s="34" t="str">
        <f t="shared" si="1"/>
        <v/>
      </c>
      <c r="R12" t="s">
        <v>46</v>
      </c>
      <c r="S12" s="1">
        <f>IF(L12&gt;$I$2,"",E12/$D$3-1)</f>
        <v>0.10964534939298343</v>
      </c>
      <c r="T12" s="1"/>
      <c r="U12" s="35" t="str">
        <f t="shared" si="2"/>
        <v/>
      </c>
    </row>
    <row r="13" spans="1:21" x14ac:dyDescent="0.25">
      <c r="A13" s="26">
        <v>20100329</v>
      </c>
      <c r="B13" s="26">
        <v>3534</v>
      </c>
      <c r="C13" s="26" t="s">
        <v>320</v>
      </c>
      <c r="D13" s="26">
        <v>117</v>
      </c>
      <c r="E13" s="26">
        <v>117</v>
      </c>
      <c r="F13" s="26">
        <v>111.95</v>
      </c>
      <c r="L13" s="26">
        <v>10</v>
      </c>
      <c r="M13" t="s">
        <v>47</v>
      </c>
      <c r="N13" s="1">
        <f t="shared" si="0"/>
        <v>7.0165376159067039E-2</v>
      </c>
      <c r="O13" s="31"/>
      <c r="P13" s="34" t="str">
        <f t="shared" si="1"/>
        <v/>
      </c>
      <c r="R13" t="s">
        <v>47</v>
      </c>
      <c r="S13" s="1">
        <f>IF(L13&gt;$I$2,"",E13/$D$3-1)</f>
        <v>0.11843991970174939</v>
      </c>
      <c r="T13" s="1"/>
      <c r="U13" s="35" t="str">
        <f t="shared" si="2"/>
        <v/>
      </c>
    </row>
    <row r="14" spans="1:21" x14ac:dyDescent="0.25">
      <c r="A14" s="26">
        <v>20100330</v>
      </c>
      <c r="B14" s="26">
        <v>3534</v>
      </c>
      <c r="C14" s="26" t="s">
        <v>320</v>
      </c>
      <c r="D14" s="26">
        <v>115.16</v>
      </c>
      <c r="E14" s="26">
        <v>117.46</v>
      </c>
      <c r="F14" s="26">
        <v>114.25</v>
      </c>
      <c r="L14" s="26">
        <v>11</v>
      </c>
      <c r="M14" t="s">
        <v>48</v>
      </c>
      <c r="N14" s="1">
        <f t="shared" si="0"/>
        <v>9.2151801930981714E-2</v>
      </c>
      <c r="O14" s="31"/>
      <c r="P14" s="34" t="str">
        <f t="shared" si="1"/>
        <v/>
      </c>
      <c r="R14" t="s">
        <v>48</v>
      </c>
      <c r="S14" s="1">
        <f>IF(L14&gt;$I$2,"",E14/$D$3-1)</f>
        <v>0.12283720485613214</v>
      </c>
      <c r="T14" s="1"/>
      <c r="U14" s="35" t="str">
        <f t="shared" si="2"/>
        <v/>
      </c>
    </row>
    <row r="15" spans="1:21" x14ac:dyDescent="0.25">
      <c r="A15" s="26">
        <v>20100331</v>
      </c>
      <c r="B15" s="26">
        <v>3534</v>
      </c>
      <c r="C15" s="26" t="s">
        <v>320</v>
      </c>
      <c r="D15" s="26">
        <v>114.25</v>
      </c>
      <c r="E15" s="26">
        <v>117</v>
      </c>
      <c r="F15" s="26">
        <v>114.25</v>
      </c>
      <c r="L15" s="26">
        <v>12</v>
      </c>
      <c r="M15" t="s">
        <v>49</v>
      </c>
      <c r="N15" s="1">
        <f t="shared" si="0"/>
        <v>9.2151801930981714E-2</v>
      </c>
      <c r="O15" s="31"/>
      <c r="P15" s="34" t="str">
        <f t="shared" si="1"/>
        <v/>
      </c>
      <c r="R15" t="s">
        <v>49</v>
      </c>
      <c r="S15" s="1">
        <f t="shared" ref="S15:S18" si="4">IF(L15&gt;$I$2,"",E15/$D$3-1)</f>
        <v>0.11843991970174939</v>
      </c>
      <c r="T15" s="1"/>
      <c r="U15" s="35" t="str">
        <f t="shared" si="2"/>
        <v/>
      </c>
    </row>
    <row r="16" spans="1:21" x14ac:dyDescent="0.25">
      <c r="A16" s="26">
        <v>20100401</v>
      </c>
      <c r="B16" s="26">
        <v>3534</v>
      </c>
      <c r="C16" s="26" t="s">
        <v>320</v>
      </c>
      <c r="D16" s="26">
        <v>118.84</v>
      </c>
      <c r="E16" s="26">
        <v>118.84</v>
      </c>
      <c r="F16" s="26">
        <v>114.25</v>
      </c>
      <c r="L16" s="26">
        <v>13</v>
      </c>
      <c r="M16" t="s">
        <v>50</v>
      </c>
      <c r="N16" s="1">
        <f t="shared" si="0"/>
        <v>9.2151801930981714E-2</v>
      </c>
      <c r="O16" s="31"/>
      <c r="P16" s="34" t="str">
        <f t="shared" si="1"/>
        <v/>
      </c>
      <c r="R16" t="s">
        <v>50</v>
      </c>
      <c r="S16" s="1">
        <f t="shared" si="4"/>
        <v>0.13602906031928108</v>
      </c>
      <c r="T16" s="1"/>
      <c r="U16" s="35" t="str">
        <f t="shared" si="2"/>
        <v/>
      </c>
    </row>
    <row r="17" spans="1:21" x14ac:dyDescent="0.25">
      <c r="A17" s="26">
        <v>20100402</v>
      </c>
      <c r="B17" s="26">
        <v>3534</v>
      </c>
      <c r="C17" s="26" t="s">
        <v>320</v>
      </c>
      <c r="D17" s="26">
        <v>126.64</v>
      </c>
      <c r="E17" s="26">
        <v>127.09</v>
      </c>
      <c r="F17" s="26">
        <v>119.29</v>
      </c>
      <c r="L17" s="26">
        <v>14</v>
      </c>
      <c r="M17" t="s">
        <v>51</v>
      </c>
      <c r="N17" s="1">
        <f t="shared" si="0"/>
        <v>0.14033075231813408</v>
      </c>
      <c r="O17" s="31"/>
      <c r="P17" s="34" t="str">
        <f t="shared" si="1"/>
        <v/>
      </c>
      <c r="R17" t="s">
        <v>51</v>
      </c>
      <c r="S17" s="1">
        <f t="shared" si="4"/>
        <v>0.2148934136315841</v>
      </c>
      <c r="T17" s="1"/>
      <c r="U17" s="35">
        <f t="shared" si="2"/>
        <v>1</v>
      </c>
    </row>
    <row r="18" spans="1:21" x14ac:dyDescent="0.25">
      <c r="A18" s="26">
        <v>20100406</v>
      </c>
      <c r="B18" s="26">
        <v>3534</v>
      </c>
      <c r="C18" s="26" t="s">
        <v>320</v>
      </c>
      <c r="D18" s="26">
        <v>133.06</v>
      </c>
      <c r="E18" s="26">
        <v>135.35</v>
      </c>
      <c r="F18" s="26">
        <v>130.31</v>
      </c>
      <c r="L18" s="26">
        <v>15</v>
      </c>
      <c r="M18" t="s">
        <v>52</v>
      </c>
      <c r="N18" s="1">
        <f t="shared" si="0"/>
        <v>0.24567440971226473</v>
      </c>
      <c r="O18" s="31"/>
      <c r="P18" s="34" t="str">
        <f t="shared" si="1"/>
        <v/>
      </c>
      <c r="R18" t="s">
        <v>52</v>
      </c>
      <c r="S18" s="1">
        <f t="shared" si="4"/>
        <v>0.29385336009941687</v>
      </c>
      <c r="T18" s="1"/>
      <c r="U18" s="35">
        <f t="shared" si="2"/>
        <v>1</v>
      </c>
    </row>
    <row r="19" spans="1:21" x14ac:dyDescent="0.25">
      <c r="A19" s="26"/>
      <c r="B19" s="26"/>
      <c r="C19" s="26"/>
      <c r="D19" s="26"/>
      <c r="E19" s="26"/>
      <c r="F19" s="26"/>
      <c r="L19" s="26">
        <v>16</v>
      </c>
      <c r="M19" t="s">
        <v>53</v>
      </c>
      <c r="N19" s="1" t="str">
        <f t="shared" si="0"/>
        <v/>
      </c>
      <c r="O19" s="31"/>
      <c r="P19" s="34" t="str">
        <f t="shared" si="1"/>
        <v/>
      </c>
      <c r="R19" t="s">
        <v>53</v>
      </c>
      <c r="S19" s="1" t="str">
        <f>IF(L19&gt;$I$2,"",E19/$D$3-1)</f>
        <v/>
      </c>
      <c r="T19" s="1"/>
      <c r="U19" s="35" t="str">
        <f t="shared" si="2"/>
        <v/>
      </c>
    </row>
    <row r="20" spans="1:21" x14ac:dyDescent="0.25">
      <c r="A20" s="26"/>
      <c r="B20" s="26"/>
      <c r="C20" s="26"/>
      <c r="D20" s="26"/>
      <c r="E20" s="26"/>
      <c r="F20" s="26"/>
      <c r="L20" s="26">
        <v>17</v>
      </c>
      <c r="M20" t="s">
        <v>54</v>
      </c>
      <c r="N20" s="1" t="str">
        <f t="shared" si="0"/>
        <v/>
      </c>
      <c r="O20" s="31"/>
      <c r="P20" s="34" t="str">
        <f t="shared" si="1"/>
        <v/>
      </c>
      <c r="R20" t="s">
        <v>54</v>
      </c>
      <c r="S20" s="1" t="str">
        <f>IF(L20&gt;$I$2,"",E20/$D$3-1)</f>
        <v/>
      </c>
      <c r="T20" s="1"/>
      <c r="U20" s="35" t="str">
        <f t="shared" si="2"/>
        <v/>
      </c>
    </row>
    <row r="21" spans="1:21" x14ac:dyDescent="0.25">
      <c r="A21" s="26"/>
      <c r="B21" s="26"/>
      <c r="C21" s="26"/>
      <c r="D21" s="26"/>
      <c r="E21" s="26"/>
      <c r="F21" s="26"/>
      <c r="L21" s="26">
        <v>18</v>
      </c>
      <c r="M21" t="s">
        <v>55</v>
      </c>
      <c r="N21" s="1" t="str">
        <f t="shared" si="0"/>
        <v/>
      </c>
      <c r="O21" s="31"/>
      <c r="P21" s="34" t="str">
        <f t="shared" si="1"/>
        <v/>
      </c>
      <c r="R21" t="s">
        <v>55</v>
      </c>
      <c r="S21" s="1" t="str">
        <f>IF(L21&gt;$I$2,"",E21/$D$3-1)</f>
        <v/>
      </c>
      <c r="T21" s="1"/>
      <c r="U21" s="35" t="str">
        <f t="shared" si="2"/>
        <v/>
      </c>
    </row>
    <row r="22" spans="1:21" x14ac:dyDescent="0.25">
      <c r="A22" s="26"/>
      <c r="B22" s="26"/>
      <c r="C22" s="26"/>
      <c r="D22" s="26"/>
      <c r="E22" s="26"/>
      <c r="F22" s="26"/>
      <c r="L22" s="26">
        <v>19</v>
      </c>
      <c r="M22" t="s">
        <v>56</v>
      </c>
      <c r="N22" s="1" t="str">
        <f t="shared" si="0"/>
        <v/>
      </c>
      <c r="O22" s="31"/>
      <c r="P22" s="34" t="str">
        <f t="shared" si="1"/>
        <v/>
      </c>
      <c r="R22" t="s">
        <v>56</v>
      </c>
      <c r="S22" s="1" t="str">
        <f>IF(L22&gt;$I$2,"",E22/$D$3-1)</f>
        <v/>
      </c>
      <c r="T22" s="1"/>
      <c r="U22" s="35" t="str">
        <f t="shared" si="2"/>
        <v/>
      </c>
    </row>
    <row r="23" spans="1:21" x14ac:dyDescent="0.25">
      <c r="A23" s="26"/>
      <c r="B23" s="26"/>
      <c r="C23" s="26"/>
      <c r="D23" s="26"/>
      <c r="E23" s="26"/>
      <c r="F23" s="26"/>
      <c r="L23" s="26">
        <v>20</v>
      </c>
      <c r="M23" t="s">
        <v>57</v>
      </c>
      <c r="N23" s="1" t="str">
        <f t="shared" si="0"/>
        <v/>
      </c>
      <c r="O23" s="31"/>
      <c r="P23" s="34" t="str">
        <f t="shared" si="1"/>
        <v/>
      </c>
      <c r="R23" t="s">
        <v>57</v>
      </c>
      <c r="S23" s="1" t="str">
        <f>IF(L23&gt;$I$2,"",E23/$D$3-1)</f>
        <v/>
      </c>
      <c r="T23" s="1"/>
      <c r="U23" s="35" t="str">
        <f t="shared" si="2"/>
        <v/>
      </c>
    </row>
    <row r="24" spans="1:21" x14ac:dyDescent="0.25">
      <c r="A24" s="26"/>
      <c r="B24" s="26"/>
      <c r="C24" s="26"/>
      <c r="D24" s="26"/>
      <c r="E24" s="26"/>
      <c r="F24" s="26"/>
      <c r="L24" s="26">
        <v>21</v>
      </c>
      <c r="M24" t="s">
        <v>58</v>
      </c>
      <c r="N24" s="1" t="str">
        <f t="shared" si="0"/>
        <v/>
      </c>
      <c r="O24" s="31"/>
      <c r="P24" s="34" t="str">
        <f t="shared" si="1"/>
        <v/>
      </c>
      <c r="R24" t="s">
        <v>58</v>
      </c>
      <c r="S24" s="1" t="str">
        <f t="shared" ref="S24:S87" si="5">IF(L24&gt;$I$2,"",E24/$D$3-1)</f>
        <v/>
      </c>
      <c r="T24" s="1"/>
      <c r="U24" s="35" t="str">
        <f t="shared" si="2"/>
        <v/>
      </c>
    </row>
    <row r="25" spans="1:21" x14ac:dyDescent="0.25">
      <c r="A25" s="26"/>
      <c r="B25" s="26"/>
      <c r="C25" s="26"/>
      <c r="D25" s="26"/>
      <c r="E25" s="26"/>
      <c r="F25" s="26"/>
      <c r="L25" s="26">
        <v>22</v>
      </c>
      <c r="M25" t="s">
        <v>59</v>
      </c>
      <c r="N25" s="1" t="str">
        <f t="shared" si="0"/>
        <v/>
      </c>
      <c r="O25" s="31"/>
      <c r="P25" s="34" t="str">
        <f t="shared" si="1"/>
        <v/>
      </c>
      <c r="R25" t="s">
        <v>59</v>
      </c>
      <c r="S25" s="1" t="str">
        <f t="shared" si="5"/>
        <v/>
      </c>
      <c r="T25" s="1"/>
      <c r="U25" s="35" t="str">
        <f t="shared" si="2"/>
        <v/>
      </c>
    </row>
    <row r="26" spans="1:21" x14ac:dyDescent="0.25">
      <c r="A26" s="26"/>
      <c r="B26" s="26"/>
      <c r="C26" s="26"/>
      <c r="D26" s="26"/>
      <c r="E26" s="26"/>
      <c r="F26" s="26"/>
      <c r="L26" s="26">
        <v>23</v>
      </c>
      <c r="M26" t="s">
        <v>60</v>
      </c>
      <c r="N26" s="1" t="str">
        <f t="shared" si="0"/>
        <v/>
      </c>
      <c r="O26" s="31"/>
      <c r="P26" s="34" t="str">
        <f t="shared" si="1"/>
        <v/>
      </c>
      <c r="R26" t="s">
        <v>60</v>
      </c>
      <c r="S26" s="1" t="str">
        <f t="shared" si="5"/>
        <v/>
      </c>
      <c r="T26" s="1"/>
      <c r="U26" s="35" t="str">
        <f t="shared" si="2"/>
        <v/>
      </c>
    </row>
    <row r="27" spans="1:21" x14ac:dyDescent="0.25">
      <c r="A27" s="16"/>
      <c r="B27" s="16"/>
      <c r="C27" s="16"/>
      <c r="D27" s="16"/>
      <c r="E27" s="16"/>
      <c r="F27" s="16"/>
      <c r="G27" s="9"/>
      <c r="H27" s="9"/>
      <c r="I27" s="9"/>
      <c r="J27" s="9"/>
      <c r="K27" s="9"/>
      <c r="L27" s="16">
        <v>24</v>
      </c>
      <c r="M27" s="9" t="s">
        <v>66</v>
      </c>
      <c r="N27" s="33" t="str">
        <f t="shared" si="0"/>
        <v/>
      </c>
      <c r="O27" s="32"/>
      <c r="P27" s="34" t="str">
        <f t="shared" si="1"/>
        <v/>
      </c>
      <c r="Q27" s="9"/>
      <c r="R27" s="9" t="s">
        <v>61</v>
      </c>
      <c r="S27" s="33" t="str">
        <f t="shared" si="5"/>
        <v/>
      </c>
      <c r="T27" s="33"/>
      <c r="U27" s="35" t="str">
        <f t="shared" si="2"/>
        <v/>
      </c>
    </row>
    <row r="28" spans="1:21" x14ac:dyDescent="0.25">
      <c r="A28" s="26"/>
      <c r="B28" s="26"/>
      <c r="C28" s="26"/>
      <c r="D28" s="26"/>
      <c r="E28" s="26"/>
      <c r="F28" s="26"/>
      <c r="L28" s="26">
        <v>25</v>
      </c>
      <c r="M28" t="s">
        <v>67</v>
      </c>
      <c r="N28" s="1" t="str">
        <f t="shared" si="0"/>
        <v/>
      </c>
      <c r="O28" s="31"/>
      <c r="P28" s="34" t="str">
        <f t="shared" si="1"/>
        <v/>
      </c>
      <c r="R28" t="s">
        <v>67</v>
      </c>
      <c r="S28" s="1" t="str">
        <f>IF(L28&gt;$I$2,"",E28/$D$3-1)</f>
        <v/>
      </c>
      <c r="T28" s="1"/>
      <c r="U28" s="35" t="str">
        <f t="shared" si="2"/>
        <v/>
      </c>
    </row>
    <row r="29" spans="1:21" x14ac:dyDescent="0.25">
      <c r="A29" s="26"/>
      <c r="B29" s="26"/>
      <c r="C29" s="26"/>
      <c r="D29" s="26"/>
      <c r="E29" s="26"/>
      <c r="F29" s="26"/>
      <c r="L29" s="26">
        <v>26</v>
      </c>
      <c r="M29" t="s">
        <v>68</v>
      </c>
      <c r="N29" s="1" t="str">
        <f t="shared" si="0"/>
        <v/>
      </c>
      <c r="O29" s="31"/>
      <c r="P29" s="34" t="str">
        <f t="shared" si="1"/>
        <v/>
      </c>
      <c r="R29" t="s">
        <v>68</v>
      </c>
      <c r="S29" s="1" t="str">
        <f t="shared" si="5"/>
        <v/>
      </c>
      <c r="T29" s="1"/>
      <c r="U29" s="35" t="str">
        <f t="shared" si="2"/>
        <v/>
      </c>
    </row>
    <row r="30" spans="1:21" x14ac:dyDescent="0.25">
      <c r="A30" s="26"/>
      <c r="B30" s="26"/>
      <c r="C30" s="26"/>
      <c r="D30" s="26"/>
      <c r="E30" s="26"/>
      <c r="F30" s="26"/>
      <c r="L30" s="26">
        <v>27</v>
      </c>
      <c r="M30" t="s">
        <v>69</v>
      </c>
      <c r="N30" s="1" t="str">
        <f t="shared" si="0"/>
        <v/>
      </c>
      <c r="O30" s="31"/>
      <c r="P30" s="34" t="str">
        <f t="shared" si="1"/>
        <v/>
      </c>
      <c r="R30" t="s">
        <v>69</v>
      </c>
      <c r="S30" s="1" t="str">
        <f t="shared" si="5"/>
        <v/>
      </c>
      <c r="T30" s="1"/>
      <c r="U30" s="35" t="str">
        <f t="shared" si="2"/>
        <v/>
      </c>
    </row>
    <row r="31" spans="1:21" x14ac:dyDescent="0.25">
      <c r="A31" s="26"/>
      <c r="B31" s="26"/>
      <c r="C31" s="26"/>
      <c r="D31" s="26"/>
      <c r="E31" s="26"/>
      <c r="F31" s="26"/>
      <c r="L31" s="26">
        <v>28</v>
      </c>
      <c r="M31" t="s">
        <v>292</v>
      </c>
      <c r="N31" s="1" t="str">
        <f t="shared" si="0"/>
        <v/>
      </c>
      <c r="O31" s="31"/>
      <c r="P31" s="34" t="str">
        <f t="shared" si="1"/>
        <v/>
      </c>
      <c r="R31" t="s">
        <v>292</v>
      </c>
      <c r="S31" s="1" t="str">
        <f t="shared" si="5"/>
        <v/>
      </c>
      <c r="T31" s="1"/>
      <c r="U31" s="35" t="str">
        <f t="shared" si="2"/>
        <v/>
      </c>
    </row>
    <row r="32" spans="1:21" x14ac:dyDescent="0.25">
      <c r="A32" s="26"/>
      <c r="B32" s="26"/>
      <c r="C32" s="26"/>
      <c r="D32" s="26"/>
      <c r="E32" s="26"/>
      <c r="F32" s="26"/>
      <c r="L32" s="26">
        <v>29</v>
      </c>
      <c r="M32" t="s">
        <v>291</v>
      </c>
      <c r="N32" s="1" t="str">
        <f t="shared" si="0"/>
        <v/>
      </c>
      <c r="O32" s="31"/>
      <c r="P32" s="34" t="str">
        <f t="shared" si="1"/>
        <v/>
      </c>
      <c r="R32" t="s">
        <v>291</v>
      </c>
      <c r="S32" s="1" t="str">
        <f t="shared" si="5"/>
        <v/>
      </c>
      <c r="T32" s="1"/>
      <c r="U32" s="35" t="str">
        <f t="shared" si="2"/>
        <v/>
      </c>
    </row>
    <row r="33" spans="1:21" x14ac:dyDescent="0.25">
      <c r="A33" s="26"/>
      <c r="B33" s="26"/>
      <c r="C33" s="26"/>
      <c r="D33" s="26"/>
      <c r="E33" s="26"/>
      <c r="F33" s="26"/>
      <c r="L33" s="26">
        <v>30</v>
      </c>
      <c r="M33" t="s">
        <v>290</v>
      </c>
      <c r="N33" s="1" t="str">
        <f t="shared" si="0"/>
        <v/>
      </c>
      <c r="O33" s="31"/>
      <c r="P33" s="34" t="str">
        <f t="shared" si="1"/>
        <v/>
      </c>
      <c r="R33" t="s">
        <v>290</v>
      </c>
      <c r="S33" s="1" t="str">
        <f t="shared" si="5"/>
        <v/>
      </c>
      <c r="T33" s="1"/>
      <c r="U33" s="35" t="str">
        <f t="shared" si="2"/>
        <v/>
      </c>
    </row>
    <row r="34" spans="1:21" x14ac:dyDescent="0.25">
      <c r="A34" s="26"/>
      <c r="B34" s="26"/>
      <c r="C34" s="26"/>
      <c r="D34" s="26"/>
      <c r="E34" s="26"/>
      <c r="F34" s="26"/>
      <c r="L34" s="26">
        <v>31</v>
      </c>
      <c r="M34" t="s">
        <v>289</v>
      </c>
      <c r="N34" s="1" t="str">
        <f t="shared" si="0"/>
        <v/>
      </c>
      <c r="O34" s="31"/>
      <c r="P34" s="34" t="str">
        <f t="shared" si="1"/>
        <v/>
      </c>
      <c r="R34" t="s">
        <v>289</v>
      </c>
      <c r="S34" s="1" t="str">
        <f t="shared" si="5"/>
        <v/>
      </c>
      <c r="T34" s="1"/>
      <c r="U34" s="35" t="str">
        <f t="shared" si="2"/>
        <v/>
      </c>
    </row>
    <row r="35" spans="1:21" x14ac:dyDescent="0.25">
      <c r="A35" s="26"/>
      <c r="B35" s="26"/>
      <c r="C35" s="26"/>
      <c r="D35" s="26"/>
      <c r="E35" s="26"/>
      <c r="F35" s="26"/>
      <c r="L35" s="26">
        <v>32</v>
      </c>
      <c r="M35" t="s">
        <v>288</v>
      </c>
      <c r="N35" s="1" t="str">
        <f t="shared" si="0"/>
        <v/>
      </c>
      <c r="O35" s="31"/>
      <c r="P35" s="34" t="str">
        <f t="shared" si="1"/>
        <v/>
      </c>
      <c r="R35" t="s">
        <v>288</v>
      </c>
      <c r="S35" s="1" t="str">
        <f t="shared" si="5"/>
        <v/>
      </c>
      <c r="T35" s="1"/>
      <c r="U35" s="35" t="str">
        <f t="shared" si="2"/>
        <v/>
      </c>
    </row>
    <row r="36" spans="1:21" x14ac:dyDescent="0.25">
      <c r="A36" s="26"/>
      <c r="B36" s="26"/>
      <c r="C36" s="26"/>
      <c r="D36" s="26"/>
      <c r="E36" s="26"/>
      <c r="F36" s="26"/>
      <c r="L36" s="26">
        <v>33</v>
      </c>
      <c r="M36" t="s">
        <v>287</v>
      </c>
      <c r="N36" s="1" t="str">
        <f t="shared" si="0"/>
        <v/>
      </c>
      <c r="O36" s="31"/>
      <c r="P36" s="34" t="str">
        <f t="shared" si="1"/>
        <v/>
      </c>
      <c r="R36" t="s">
        <v>287</v>
      </c>
      <c r="S36" s="1" t="str">
        <f t="shared" si="5"/>
        <v/>
      </c>
      <c r="T36" s="1"/>
      <c r="U36" s="35" t="str">
        <f t="shared" si="2"/>
        <v/>
      </c>
    </row>
    <row r="37" spans="1:21" x14ac:dyDescent="0.25">
      <c r="A37" s="26"/>
      <c r="B37" s="26"/>
      <c r="C37" s="26"/>
      <c r="D37" s="26"/>
      <c r="E37" s="26"/>
      <c r="F37" s="26"/>
      <c r="L37" s="26">
        <v>34</v>
      </c>
      <c r="M37" t="s">
        <v>286</v>
      </c>
      <c r="N37" s="1" t="str">
        <f t="shared" si="0"/>
        <v/>
      </c>
      <c r="O37" s="31"/>
      <c r="P37" s="34" t="str">
        <f t="shared" si="1"/>
        <v/>
      </c>
      <c r="R37" t="s">
        <v>286</v>
      </c>
      <c r="S37" s="1" t="str">
        <f t="shared" si="5"/>
        <v/>
      </c>
      <c r="T37" s="1"/>
      <c r="U37" s="35" t="str">
        <f t="shared" si="2"/>
        <v/>
      </c>
    </row>
    <row r="38" spans="1:21" x14ac:dyDescent="0.25">
      <c r="A38" s="26"/>
      <c r="B38" s="26"/>
      <c r="C38" s="26"/>
      <c r="D38" s="26"/>
      <c r="E38" s="26"/>
      <c r="F38" s="26"/>
      <c r="L38" s="26">
        <v>35</v>
      </c>
      <c r="M38" t="s">
        <v>285</v>
      </c>
      <c r="N38" s="1" t="str">
        <f t="shared" si="0"/>
        <v/>
      </c>
      <c r="O38" s="31"/>
      <c r="P38" s="34" t="str">
        <f t="shared" si="1"/>
        <v/>
      </c>
      <c r="R38" t="s">
        <v>285</v>
      </c>
      <c r="S38" s="1" t="str">
        <f t="shared" si="5"/>
        <v/>
      </c>
      <c r="T38" s="1"/>
      <c r="U38" s="35" t="str">
        <f t="shared" si="2"/>
        <v/>
      </c>
    </row>
    <row r="39" spans="1:21" x14ac:dyDescent="0.25">
      <c r="A39" s="26"/>
      <c r="B39" s="26"/>
      <c r="C39" s="26"/>
      <c r="D39" s="26"/>
      <c r="E39" s="26"/>
      <c r="F39" s="26"/>
      <c r="L39" s="26">
        <v>36</v>
      </c>
      <c r="M39" t="s">
        <v>284</v>
      </c>
      <c r="N39" s="1" t="str">
        <f t="shared" si="0"/>
        <v/>
      </c>
      <c r="O39" s="31"/>
      <c r="P39" s="34" t="str">
        <f t="shared" si="1"/>
        <v/>
      </c>
      <c r="R39" t="s">
        <v>284</v>
      </c>
      <c r="S39" s="1" t="str">
        <f t="shared" si="5"/>
        <v/>
      </c>
      <c r="T39" s="1"/>
      <c r="U39" s="35" t="str">
        <f t="shared" si="2"/>
        <v/>
      </c>
    </row>
    <row r="40" spans="1:21" x14ac:dyDescent="0.25">
      <c r="A40" s="26"/>
      <c r="B40" s="26"/>
      <c r="C40" s="26"/>
      <c r="D40" s="26"/>
      <c r="E40" s="26"/>
      <c r="F40" s="26"/>
      <c r="L40" s="26">
        <v>37</v>
      </c>
      <c r="M40" t="s">
        <v>283</v>
      </c>
      <c r="N40" s="1" t="str">
        <f t="shared" si="0"/>
        <v/>
      </c>
      <c r="O40" s="31"/>
      <c r="P40" s="34" t="str">
        <f t="shared" si="1"/>
        <v/>
      </c>
      <c r="R40" t="s">
        <v>283</v>
      </c>
      <c r="S40" s="1" t="str">
        <f t="shared" si="5"/>
        <v/>
      </c>
      <c r="T40" s="1"/>
      <c r="U40" s="35" t="str">
        <f t="shared" si="2"/>
        <v/>
      </c>
    </row>
    <row r="41" spans="1:21" x14ac:dyDescent="0.25">
      <c r="A41" s="26"/>
      <c r="B41" s="26"/>
      <c r="C41" s="26"/>
      <c r="D41" s="26"/>
      <c r="E41" s="26"/>
      <c r="F41" s="26"/>
      <c r="L41" s="26">
        <v>38</v>
      </c>
      <c r="M41" t="s">
        <v>282</v>
      </c>
      <c r="N41" s="1" t="str">
        <f t="shared" si="0"/>
        <v/>
      </c>
      <c r="O41" s="31"/>
      <c r="P41" s="34" t="str">
        <f t="shared" si="1"/>
        <v/>
      </c>
      <c r="R41" t="s">
        <v>282</v>
      </c>
      <c r="S41" s="1" t="str">
        <f t="shared" si="5"/>
        <v/>
      </c>
      <c r="T41" s="1"/>
      <c r="U41" s="35" t="str">
        <f t="shared" si="2"/>
        <v/>
      </c>
    </row>
    <row r="42" spans="1:21" x14ac:dyDescent="0.25">
      <c r="A42" s="26"/>
      <c r="B42" s="26"/>
      <c r="C42" s="26"/>
      <c r="D42" s="26"/>
      <c r="E42" s="26"/>
      <c r="F42" s="26"/>
      <c r="L42" s="26">
        <v>39</v>
      </c>
      <c r="M42" t="s">
        <v>281</v>
      </c>
      <c r="N42" s="1" t="str">
        <f t="shared" si="0"/>
        <v/>
      </c>
      <c r="O42" s="31"/>
      <c r="P42" s="34" t="str">
        <f t="shared" si="1"/>
        <v/>
      </c>
      <c r="R42" t="s">
        <v>281</v>
      </c>
      <c r="S42" s="1" t="str">
        <f t="shared" si="5"/>
        <v/>
      </c>
      <c r="T42" s="1"/>
      <c r="U42" s="35" t="str">
        <f t="shared" si="2"/>
        <v/>
      </c>
    </row>
    <row r="43" spans="1:21" x14ac:dyDescent="0.25">
      <c r="A43" s="26"/>
      <c r="B43" s="26"/>
      <c r="C43" s="26"/>
      <c r="D43" s="26"/>
      <c r="E43" s="26"/>
      <c r="F43" s="26"/>
      <c r="L43" s="26">
        <v>40</v>
      </c>
      <c r="M43" t="s">
        <v>280</v>
      </c>
      <c r="N43" s="1" t="str">
        <f t="shared" si="0"/>
        <v/>
      </c>
      <c r="O43" s="31"/>
      <c r="P43" s="34" t="str">
        <f t="shared" si="1"/>
        <v/>
      </c>
      <c r="R43" t="s">
        <v>280</v>
      </c>
      <c r="S43" s="1" t="str">
        <f t="shared" si="5"/>
        <v/>
      </c>
      <c r="T43" s="1"/>
      <c r="U43" s="35" t="str">
        <f t="shared" si="2"/>
        <v/>
      </c>
    </row>
    <row r="44" spans="1:21" x14ac:dyDescent="0.25">
      <c r="A44" s="26"/>
      <c r="B44" s="26"/>
      <c r="C44" s="26"/>
      <c r="D44" s="26"/>
      <c r="E44" s="26"/>
      <c r="F44" s="26"/>
      <c r="L44" s="26">
        <v>41</v>
      </c>
      <c r="M44" t="s">
        <v>279</v>
      </c>
      <c r="N44" s="1" t="str">
        <f t="shared" si="0"/>
        <v/>
      </c>
      <c r="O44" s="31"/>
      <c r="P44" s="34" t="str">
        <f t="shared" si="1"/>
        <v/>
      </c>
      <c r="R44" t="s">
        <v>279</v>
      </c>
      <c r="S44" s="1" t="str">
        <f t="shared" si="5"/>
        <v/>
      </c>
      <c r="T44" s="1"/>
      <c r="U44" s="35" t="str">
        <f t="shared" si="2"/>
        <v/>
      </c>
    </row>
    <row r="45" spans="1:21" x14ac:dyDescent="0.25">
      <c r="A45" s="26"/>
      <c r="B45" s="26"/>
      <c r="C45" s="26"/>
      <c r="D45" s="26"/>
      <c r="E45" s="26"/>
      <c r="F45" s="26"/>
      <c r="L45" s="26">
        <v>42</v>
      </c>
      <c r="M45" t="s">
        <v>278</v>
      </c>
      <c r="N45" s="1" t="str">
        <f t="shared" si="0"/>
        <v/>
      </c>
      <c r="O45" s="31"/>
      <c r="P45" s="34" t="str">
        <f t="shared" si="1"/>
        <v/>
      </c>
      <c r="R45" t="s">
        <v>278</v>
      </c>
      <c r="S45" s="1" t="str">
        <f t="shared" si="5"/>
        <v/>
      </c>
      <c r="T45" s="1"/>
      <c r="U45" s="35" t="str">
        <f t="shared" si="2"/>
        <v/>
      </c>
    </row>
    <row r="46" spans="1:21" x14ac:dyDescent="0.25">
      <c r="A46" s="26"/>
      <c r="B46" s="26"/>
      <c r="C46" s="26"/>
      <c r="D46" s="26"/>
      <c r="E46" s="26"/>
      <c r="F46" s="26"/>
      <c r="L46" s="26">
        <v>43</v>
      </c>
      <c r="M46" t="s">
        <v>277</v>
      </c>
      <c r="N46" s="1" t="str">
        <f t="shared" si="0"/>
        <v/>
      </c>
      <c r="O46" s="31"/>
      <c r="P46" s="34" t="str">
        <f t="shared" si="1"/>
        <v/>
      </c>
      <c r="R46" t="s">
        <v>277</v>
      </c>
      <c r="S46" s="1" t="str">
        <f t="shared" si="5"/>
        <v/>
      </c>
      <c r="T46" s="1"/>
      <c r="U46" s="35" t="str">
        <f t="shared" si="2"/>
        <v/>
      </c>
    </row>
    <row r="47" spans="1:21" x14ac:dyDescent="0.25">
      <c r="A47" s="26"/>
      <c r="B47" s="26"/>
      <c r="C47" s="26"/>
      <c r="D47" s="26"/>
      <c r="E47" s="26"/>
      <c r="F47" s="26"/>
      <c r="L47" s="26">
        <v>44</v>
      </c>
      <c r="M47" t="s">
        <v>276</v>
      </c>
      <c r="N47" s="1" t="str">
        <f t="shared" si="0"/>
        <v/>
      </c>
      <c r="O47" s="31"/>
      <c r="P47" s="34" t="str">
        <f t="shared" si="1"/>
        <v/>
      </c>
      <c r="R47" t="s">
        <v>276</v>
      </c>
      <c r="S47" s="1" t="str">
        <f t="shared" si="5"/>
        <v/>
      </c>
      <c r="T47" s="1"/>
      <c r="U47" s="35" t="str">
        <f t="shared" si="2"/>
        <v/>
      </c>
    </row>
    <row r="48" spans="1:21" x14ac:dyDescent="0.25">
      <c r="A48" s="26"/>
      <c r="B48" s="26"/>
      <c r="C48" s="26"/>
      <c r="D48" s="26"/>
      <c r="E48" s="26"/>
      <c r="F48" s="26"/>
      <c r="L48" s="26">
        <v>45</v>
      </c>
      <c r="M48" t="s">
        <v>275</v>
      </c>
      <c r="N48" s="1" t="str">
        <f t="shared" si="0"/>
        <v/>
      </c>
      <c r="O48" s="31"/>
      <c r="P48" s="34" t="str">
        <f t="shared" si="1"/>
        <v/>
      </c>
      <c r="R48" t="s">
        <v>275</v>
      </c>
      <c r="S48" s="1" t="str">
        <f t="shared" si="5"/>
        <v/>
      </c>
      <c r="T48" s="1"/>
      <c r="U48" s="35" t="str">
        <f t="shared" si="2"/>
        <v/>
      </c>
    </row>
    <row r="49" spans="1:21" x14ac:dyDescent="0.25">
      <c r="A49" s="26"/>
      <c r="B49" s="26"/>
      <c r="C49" s="26"/>
      <c r="D49" s="26"/>
      <c r="E49" s="26"/>
      <c r="F49" s="26"/>
      <c r="L49" s="26">
        <v>46</v>
      </c>
      <c r="M49" t="s">
        <v>274</v>
      </c>
      <c r="N49" s="1" t="str">
        <f t="shared" si="0"/>
        <v/>
      </c>
      <c r="O49" s="31"/>
      <c r="P49" s="34" t="str">
        <f t="shared" si="1"/>
        <v/>
      </c>
      <c r="R49" t="s">
        <v>274</v>
      </c>
      <c r="S49" s="1" t="str">
        <f t="shared" si="5"/>
        <v/>
      </c>
      <c r="T49" s="1"/>
      <c r="U49" s="35" t="str">
        <f t="shared" si="2"/>
        <v/>
      </c>
    </row>
    <row r="50" spans="1:21" x14ac:dyDescent="0.25">
      <c r="A50" s="26"/>
      <c r="B50" s="26"/>
      <c r="C50" s="26"/>
      <c r="D50" s="26"/>
      <c r="E50" s="26"/>
      <c r="F50" s="26"/>
      <c r="L50" s="26">
        <v>47</v>
      </c>
      <c r="M50" t="s">
        <v>273</v>
      </c>
      <c r="N50" s="1" t="str">
        <f t="shared" si="0"/>
        <v/>
      </c>
      <c r="O50" s="31"/>
      <c r="P50" s="34" t="str">
        <f t="shared" si="1"/>
        <v/>
      </c>
      <c r="R50" t="s">
        <v>273</v>
      </c>
      <c r="S50" s="1" t="str">
        <f t="shared" si="5"/>
        <v/>
      </c>
      <c r="T50" s="1"/>
      <c r="U50" s="35" t="str">
        <f t="shared" si="2"/>
        <v/>
      </c>
    </row>
    <row r="51" spans="1:21" x14ac:dyDescent="0.25">
      <c r="A51" s="26"/>
      <c r="B51" s="26"/>
      <c r="C51" s="26"/>
      <c r="D51" s="26"/>
      <c r="E51" s="26"/>
      <c r="F51" s="26"/>
      <c r="L51" s="26">
        <v>48</v>
      </c>
      <c r="M51" t="s">
        <v>272</v>
      </c>
      <c r="N51" s="1" t="str">
        <f t="shared" si="0"/>
        <v/>
      </c>
      <c r="O51" s="31"/>
      <c r="P51" s="34" t="str">
        <f t="shared" si="1"/>
        <v/>
      </c>
      <c r="R51" t="s">
        <v>272</v>
      </c>
      <c r="S51" s="1" t="str">
        <f t="shared" si="5"/>
        <v/>
      </c>
      <c r="T51" s="1"/>
      <c r="U51" s="35" t="str">
        <f t="shared" si="2"/>
        <v/>
      </c>
    </row>
    <row r="52" spans="1:21" x14ac:dyDescent="0.25">
      <c r="A52" s="26"/>
      <c r="B52" s="26"/>
      <c r="C52" s="26"/>
      <c r="D52" s="26"/>
      <c r="E52" s="26"/>
      <c r="F52" s="26"/>
      <c r="L52" s="26">
        <v>49</v>
      </c>
      <c r="M52" t="s">
        <v>271</v>
      </c>
      <c r="N52" s="1" t="str">
        <f t="shared" si="0"/>
        <v/>
      </c>
      <c r="O52" s="31"/>
      <c r="P52" s="34" t="str">
        <f t="shared" si="1"/>
        <v/>
      </c>
      <c r="R52" t="s">
        <v>271</v>
      </c>
      <c r="S52" s="1" t="str">
        <f t="shared" si="5"/>
        <v/>
      </c>
      <c r="T52" s="1"/>
      <c r="U52" s="35" t="str">
        <f t="shared" si="2"/>
        <v/>
      </c>
    </row>
    <row r="53" spans="1:21" x14ac:dyDescent="0.25">
      <c r="A53" s="26"/>
      <c r="B53" s="26"/>
      <c r="C53" s="26"/>
      <c r="D53" s="26"/>
      <c r="E53" s="26"/>
      <c r="F53" s="26"/>
      <c r="L53" s="26">
        <v>50</v>
      </c>
      <c r="M53" t="s">
        <v>270</v>
      </c>
      <c r="N53" s="1" t="str">
        <f t="shared" si="0"/>
        <v/>
      </c>
      <c r="O53" s="31"/>
      <c r="P53" s="34" t="str">
        <f t="shared" si="1"/>
        <v/>
      </c>
      <c r="R53" t="s">
        <v>270</v>
      </c>
      <c r="S53" s="1" t="str">
        <f t="shared" si="5"/>
        <v/>
      </c>
      <c r="T53" s="1"/>
      <c r="U53" s="35" t="str">
        <f t="shared" si="2"/>
        <v/>
      </c>
    </row>
    <row r="54" spans="1:21" x14ac:dyDescent="0.25">
      <c r="A54" s="26"/>
      <c r="B54" s="26"/>
      <c r="C54" s="26"/>
      <c r="D54" s="26"/>
      <c r="E54" s="26"/>
      <c r="F54" s="26"/>
      <c r="L54" s="26">
        <v>51</v>
      </c>
      <c r="M54" t="s">
        <v>269</v>
      </c>
      <c r="N54" s="1" t="str">
        <f t="shared" si="0"/>
        <v/>
      </c>
      <c r="O54" s="31"/>
      <c r="P54" s="34" t="str">
        <f t="shared" si="1"/>
        <v/>
      </c>
      <c r="R54" t="s">
        <v>269</v>
      </c>
      <c r="S54" s="1" t="str">
        <f t="shared" si="5"/>
        <v/>
      </c>
      <c r="T54" s="1"/>
      <c r="U54" s="35" t="str">
        <f t="shared" si="2"/>
        <v/>
      </c>
    </row>
    <row r="55" spans="1:21" x14ac:dyDescent="0.25">
      <c r="A55" s="26"/>
      <c r="B55" s="26"/>
      <c r="C55" s="26"/>
      <c r="D55" s="26"/>
      <c r="E55" s="26"/>
      <c r="F55" s="26"/>
      <c r="L55" s="26">
        <v>52</v>
      </c>
      <c r="M55" t="s">
        <v>268</v>
      </c>
      <c r="N55" s="1" t="str">
        <f t="shared" si="0"/>
        <v/>
      </c>
      <c r="O55" s="31"/>
      <c r="P55" s="34" t="str">
        <f t="shared" si="1"/>
        <v/>
      </c>
      <c r="R55" t="s">
        <v>268</v>
      </c>
      <c r="S55" s="1" t="str">
        <f t="shared" si="5"/>
        <v/>
      </c>
      <c r="T55" s="1"/>
      <c r="U55" s="35" t="str">
        <f t="shared" si="2"/>
        <v/>
      </c>
    </row>
    <row r="56" spans="1:21" x14ac:dyDescent="0.25">
      <c r="A56" s="26"/>
      <c r="B56" s="26"/>
      <c r="C56" s="26"/>
      <c r="D56" s="26"/>
      <c r="E56" s="26"/>
      <c r="F56" s="26"/>
      <c r="L56" s="26">
        <v>53</v>
      </c>
      <c r="M56" t="s">
        <v>267</v>
      </c>
      <c r="N56" s="1" t="str">
        <f t="shared" si="0"/>
        <v/>
      </c>
      <c r="O56" s="31"/>
      <c r="P56" s="34" t="str">
        <f t="shared" si="1"/>
        <v/>
      </c>
      <c r="R56" t="s">
        <v>267</v>
      </c>
      <c r="S56" s="1" t="str">
        <f t="shared" si="5"/>
        <v/>
      </c>
      <c r="T56" s="1"/>
      <c r="U56" s="35" t="str">
        <f t="shared" si="2"/>
        <v/>
      </c>
    </row>
    <row r="57" spans="1:21" x14ac:dyDescent="0.25">
      <c r="A57" s="26"/>
      <c r="B57" s="26"/>
      <c r="C57" s="26"/>
      <c r="D57" s="26"/>
      <c r="E57" s="26"/>
      <c r="F57" s="26"/>
      <c r="L57" s="26">
        <v>54</v>
      </c>
      <c r="M57" t="s">
        <v>266</v>
      </c>
      <c r="N57" s="1" t="str">
        <f t="shared" si="0"/>
        <v/>
      </c>
      <c r="O57" s="31"/>
      <c r="P57" s="34" t="str">
        <f t="shared" si="1"/>
        <v/>
      </c>
      <c r="R57" t="s">
        <v>266</v>
      </c>
      <c r="S57" s="1" t="str">
        <f t="shared" si="5"/>
        <v/>
      </c>
      <c r="T57" s="1"/>
      <c r="U57" s="35" t="str">
        <f t="shared" si="2"/>
        <v/>
      </c>
    </row>
    <row r="58" spans="1:21" x14ac:dyDescent="0.25">
      <c r="A58" s="26"/>
      <c r="B58" s="26"/>
      <c r="C58" s="26"/>
      <c r="D58" s="26"/>
      <c r="E58" s="26"/>
      <c r="F58" s="26"/>
      <c r="L58" s="26">
        <v>55</v>
      </c>
      <c r="M58" t="s">
        <v>265</v>
      </c>
      <c r="N58" s="1" t="str">
        <f t="shared" si="0"/>
        <v/>
      </c>
      <c r="O58" s="31"/>
      <c r="P58" s="34" t="str">
        <f t="shared" si="1"/>
        <v/>
      </c>
      <c r="R58" t="s">
        <v>265</v>
      </c>
      <c r="S58" s="1" t="str">
        <f t="shared" si="5"/>
        <v/>
      </c>
      <c r="T58" s="1"/>
      <c r="U58" s="35" t="str">
        <f t="shared" si="2"/>
        <v/>
      </c>
    </row>
    <row r="59" spans="1:21" x14ac:dyDescent="0.25">
      <c r="A59" s="26"/>
      <c r="B59" s="26"/>
      <c r="C59" s="26"/>
      <c r="D59" s="26"/>
      <c r="E59" s="26"/>
      <c r="F59" s="26"/>
      <c r="L59" s="26">
        <v>56</v>
      </c>
      <c r="M59" t="s">
        <v>264</v>
      </c>
      <c r="N59" s="1" t="str">
        <f t="shared" si="0"/>
        <v/>
      </c>
      <c r="O59" s="31"/>
      <c r="P59" s="34" t="str">
        <f t="shared" si="1"/>
        <v/>
      </c>
      <c r="R59" t="s">
        <v>264</v>
      </c>
      <c r="S59" s="1" t="str">
        <f t="shared" si="5"/>
        <v/>
      </c>
      <c r="T59" s="1"/>
      <c r="U59" s="35" t="str">
        <f t="shared" si="2"/>
        <v/>
      </c>
    </row>
    <row r="60" spans="1:21" x14ac:dyDescent="0.25">
      <c r="A60" s="26"/>
      <c r="B60" s="26"/>
      <c r="C60" s="26"/>
      <c r="D60" s="26"/>
      <c r="E60" s="26"/>
      <c r="F60" s="26"/>
      <c r="L60" s="26">
        <v>57</v>
      </c>
      <c r="M60" t="s">
        <v>263</v>
      </c>
      <c r="N60" s="1" t="str">
        <f t="shared" si="0"/>
        <v/>
      </c>
      <c r="O60" s="31"/>
      <c r="P60" s="34" t="str">
        <f t="shared" si="1"/>
        <v/>
      </c>
      <c r="R60" t="s">
        <v>263</v>
      </c>
      <c r="S60" s="1" t="str">
        <f t="shared" si="5"/>
        <v/>
      </c>
      <c r="T60" s="1"/>
      <c r="U60" s="35" t="str">
        <f t="shared" si="2"/>
        <v/>
      </c>
    </row>
    <row r="61" spans="1:21" x14ac:dyDescent="0.25">
      <c r="A61" s="26"/>
      <c r="B61" s="26"/>
      <c r="C61" s="26"/>
      <c r="D61" s="26"/>
      <c r="E61" s="26"/>
      <c r="F61" s="26"/>
      <c r="L61" s="26">
        <v>58</v>
      </c>
      <c r="M61" t="s">
        <v>262</v>
      </c>
      <c r="N61" s="1" t="str">
        <f t="shared" si="0"/>
        <v/>
      </c>
      <c r="O61" s="31"/>
      <c r="P61" s="34" t="str">
        <f t="shared" si="1"/>
        <v/>
      </c>
      <c r="R61" t="s">
        <v>262</v>
      </c>
      <c r="S61" s="1" t="str">
        <f t="shared" si="5"/>
        <v/>
      </c>
      <c r="T61" s="1"/>
      <c r="U61" s="35" t="str">
        <f t="shared" si="2"/>
        <v/>
      </c>
    </row>
    <row r="62" spans="1:21" x14ac:dyDescent="0.25">
      <c r="A62" s="26"/>
      <c r="B62" s="26"/>
      <c r="C62" s="26"/>
      <c r="D62" s="26"/>
      <c r="E62" s="26"/>
      <c r="F62" s="26"/>
      <c r="L62" s="26">
        <v>59</v>
      </c>
      <c r="M62" t="s">
        <v>261</v>
      </c>
      <c r="N62" s="1" t="str">
        <f t="shared" si="0"/>
        <v/>
      </c>
      <c r="O62" s="31"/>
      <c r="P62" s="34" t="str">
        <f t="shared" si="1"/>
        <v/>
      </c>
      <c r="R62" t="s">
        <v>261</v>
      </c>
      <c r="S62" s="1" t="str">
        <f t="shared" si="5"/>
        <v/>
      </c>
      <c r="T62" s="1"/>
      <c r="U62" s="35" t="str">
        <f t="shared" si="2"/>
        <v/>
      </c>
    </row>
    <row r="63" spans="1:21" x14ac:dyDescent="0.25">
      <c r="A63" s="26"/>
      <c r="B63" s="26"/>
      <c r="C63" s="26"/>
      <c r="D63" s="26"/>
      <c r="E63" s="26"/>
      <c r="F63" s="26"/>
      <c r="L63" s="26">
        <v>60</v>
      </c>
      <c r="M63" t="s">
        <v>260</v>
      </c>
      <c r="N63" s="1" t="str">
        <f t="shared" si="0"/>
        <v/>
      </c>
      <c r="O63" s="31"/>
      <c r="P63" s="34" t="str">
        <f t="shared" si="1"/>
        <v/>
      </c>
      <c r="R63" t="s">
        <v>260</v>
      </c>
      <c r="S63" s="1" t="str">
        <f t="shared" si="5"/>
        <v/>
      </c>
      <c r="T63" s="1"/>
      <c r="U63" s="35" t="str">
        <f t="shared" si="2"/>
        <v/>
      </c>
    </row>
    <row r="64" spans="1:21" x14ac:dyDescent="0.25">
      <c r="A64" s="26"/>
      <c r="B64" s="26"/>
      <c r="C64" s="26"/>
      <c r="D64" s="26"/>
      <c r="E64" s="26"/>
      <c r="F64" s="26"/>
      <c r="L64" s="26">
        <v>61</v>
      </c>
      <c r="M64" t="s">
        <v>259</v>
      </c>
      <c r="N64" s="1" t="str">
        <f t="shared" si="0"/>
        <v/>
      </c>
      <c r="O64" s="31"/>
      <c r="P64" s="34" t="str">
        <f t="shared" si="1"/>
        <v/>
      </c>
      <c r="R64" t="s">
        <v>259</v>
      </c>
      <c r="S64" s="1" t="str">
        <f t="shared" si="5"/>
        <v/>
      </c>
      <c r="T64" s="1"/>
      <c r="U64" s="35" t="str">
        <f t="shared" si="2"/>
        <v/>
      </c>
    </row>
    <row r="65" spans="1:21" x14ac:dyDescent="0.25">
      <c r="A65" s="26"/>
      <c r="B65" s="26"/>
      <c r="C65" s="26"/>
      <c r="D65" s="26"/>
      <c r="E65" s="26"/>
      <c r="F65" s="26"/>
      <c r="L65" s="26">
        <v>62</v>
      </c>
      <c r="M65" t="s">
        <v>258</v>
      </c>
      <c r="N65" s="1" t="str">
        <f t="shared" si="0"/>
        <v/>
      </c>
      <c r="O65" s="31"/>
      <c r="P65" s="34" t="str">
        <f t="shared" si="1"/>
        <v/>
      </c>
      <c r="R65" t="s">
        <v>258</v>
      </c>
      <c r="S65" s="1" t="str">
        <f t="shared" si="5"/>
        <v/>
      </c>
      <c r="T65" s="1"/>
      <c r="U65" s="35" t="str">
        <f t="shared" si="2"/>
        <v/>
      </c>
    </row>
    <row r="66" spans="1:21" x14ac:dyDescent="0.25">
      <c r="A66" s="26"/>
      <c r="B66" s="26"/>
      <c r="C66" s="26"/>
      <c r="D66" s="26"/>
      <c r="E66" s="26"/>
      <c r="F66" s="26"/>
      <c r="L66" s="26">
        <v>63</v>
      </c>
      <c r="M66" t="s">
        <v>257</v>
      </c>
      <c r="N66" s="1" t="str">
        <f t="shared" si="0"/>
        <v/>
      </c>
      <c r="O66" s="31"/>
      <c r="P66" s="34" t="str">
        <f t="shared" si="1"/>
        <v/>
      </c>
      <c r="R66" t="s">
        <v>257</v>
      </c>
      <c r="S66" s="1" t="str">
        <f t="shared" si="5"/>
        <v/>
      </c>
      <c r="T66" s="1"/>
      <c r="U66" s="35" t="str">
        <f t="shared" si="2"/>
        <v/>
      </c>
    </row>
    <row r="67" spans="1:21" x14ac:dyDescent="0.25">
      <c r="A67" s="26"/>
      <c r="B67" s="26"/>
      <c r="C67" s="26"/>
      <c r="D67" s="26"/>
      <c r="E67" s="26"/>
      <c r="F67" s="26"/>
      <c r="L67" s="26">
        <v>64</v>
      </c>
      <c r="M67" t="s">
        <v>256</v>
      </c>
      <c r="N67" s="1" t="str">
        <f t="shared" si="0"/>
        <v/>
      </c>
      <c r="O67" s="31"/>
      <c r="P67" s="34" t="str">
        <f t="shared" si="1"/>
        <v/>
      </c>
      <c r="R67" t="s">
        <v>256</v>
      </c>
      <c r="S67" s="1" t="str">
        <f t="shared" si="5"/>
        <v/>
      </c>
      <c r="T67" s="1"/>
      <c r="U67" s="35" t="str">
        <f t="shared" si="2"/>
        <v/>
      </c>
    </row>
    <row r="68" spans="1:21" x14ac:dyDescent="0.25">
      <c r="A68" s="26"/>
      <c r="B68" s="26"/>
      <c r="C68" s="26"/>
      <c r="D68" s="26"/>
      <c r="E68" s="26"/>
      <c r="F68" s="26"/>
      <c r="L68" s="26">
        <v>65</v>
      </c>
      <c r="M68" t="s">
        <v>255</v>
      </c>
      <c r="N68" s="1" t="str">
        <f t="shared" si="0"/>
        <v/>
      </c>
      <c r="O68" s="31"/>
      <c r="P68" s="34" t="str">
        <f t="shared" si="1"/>
        <v/>
      </c>
      <c r="R68" t="s">
        <v>255</v>
      </c>
      <c r="S68" s="1" t="str">
        <f t="shared" si="5"/>
        <v/>
      </c>
      <c r="T68" s="1"/>
      <c r="U68" s="35" t="str">
        <f t="shared" si="2"/>
        <v/>
      </c>
    </row>
    <row r="69" spans="1:21" x14ac:dyDescent="0.25">
      <c r="A69" s="26"/>
      <c r="B69" s="26"/>
      <c r="C69" s="26"/>
      <c r="D69" s="26"/>
      <c r="E69" s="26"/>
      <c r="F69" s="26"/>
      <c r="L69" s="26">
        <v>66</v>
      </c>
      <c r="M69" t="s">
        <v>254</v>
      </c>
      <c r="N69" s="1" t="str">
        <f t="shared" ref="N69:N132" si="6">IF(L69&gt;$I$2,"",F69/$D$3-1)</f>
        <v/>
      </c>
      <c r="O69" s="31"/>
      <c r="P69" s="34" t="str">
        <f t="shared" ref="P69:P132" si="7">IF(AND(L69&lt;=$I$2,N69&lt;= -0.1),1,"")</f>
        <v/>
      </c>
      <c r="R69" t="s">
        <v>254</v>
      </c>
      <c r="S69" s="1" t="str">
        <f t="shared" si="5"/>
        <v/>
      </c>
      <c r="T69" s="1"/>
      <c r="U69" s="35" t="str">
        <f t="shared" ref="U69:U132" si="8">IF(AND(L69&lt;=$I$2,S69&gt;=0.2),1,"")</f>
        <v/>
      </c>
    </row>
    <row r="70" spans="1:21" x14ac:dyDescent="0.25">
      <c r="A70" s="26"/>
      <c r="B70" s="26"/>
      <c r="C70" s="26"/>
      <c r="D70" s="26"/>
      <c r="E70" s="26"/>
      <c r="F70" s="26"/>
      <c r="L70" s="26">
        <v>67</v>
      </c>
      <c r="M70" t="s">
        <v>253</v>
      </c>
      <c r="N70" s="1" t="str">
        <f t="shared" si="6"/>
        <v/>
      </c>
      <c r="O70" s="31"/>
      <c r="P70" s="34" t="str">
        <f t="shared" si="7"/>
        <v/>
      </c>
      <c r="R70" t="s">
        <v>253</v>
      </c>
      <c r="S70" s="1" t="str">
        <f t="shared" si="5"/>
        <v/>
      </c>
      <c r="T70" s="1"/>
      <c r="U70" s="35" t="str">
        <f t="shared" si="8"/>
        <v/>
      </c>
    </row>
    <row r="71" spans="1:21" x14ac:dyDescent="0.25">
      <c r="A71" s="26"/>
      <c r="B71" s="26"/>
      <c r="C71" s="26"/>
      <c r="D71" s="26"/>
      <c r="E71" s="26"/>
      <c r="F71" s="26"/>
      <c r="L71" s="26">
        <v>68</v>
      </c>
      <c r="M71" t="s">
        <v>252</v>
      </c>
      <c r="N71" s="1" t="str">
        <f t="shared" si="6"/>
        <v/>
      </c>
      <c r="O71" s="31"/>
      <c r="P71" s="34" t="str">
        <f t="shared" si="7"/>
        <v/>
      </c>
      <c r="R71" t="s">
        <v>252</v>
      </c>
      <c r="S71" s="1" t="str">
        <f t="shared" si="5"/>
        <v/>
      </c>
      <c r="T71" s="1"/>
      <c r="U71" s="35" t="str">
        <f t="shared" si="8"/>
        <v/>
      </c>
    </row>
    <row r="72" spans="1:21" x14ac:dyDescent="0.25">
      <c r="A72" s="26"/>
      <c r="B72" s="26"/>
      <c r="C72" s="26"/>
      <c r="D72" s="26"/>
      <c r="E72" s="26"/>
      <c r="F72" s="26"/>
      <c r="L72" s="26">
        <v>69</v>
      </c>
      <c r="M72" t="s">
        <v>251</v>
      </c>
      <c r="N72" s="1" t="str">
        <f t="shared" si="6"/>
        <v/>
      </c>
      <c r="O72" s="31"/>
      <c r="P72" s="34" t="str">
        <f t="shared" si="7"/>
        <v/>
      </c>
      <c r="R72" t="s">
        <v>251</v>
      </c>
      <c r="S72" s="1" t="str">
        <f t="shared" si="5"/>
        <v/>
      </c>
      <c r="T72" s="1"/>
      <c r="U72" s="35" t="str">
        <f t="shared" si="8"/>
        <v/>
      </c>
    </row>
    <row r="73" spans="1:21" x14ac:dyDescent="0.25">
      <c r="A73" s="26"/>
      <c r="B73" s="26"/>
      <c r="C73" s="26"/>
      <c r="D73" s="26"/>
      <c r="E73" s="26"/>
      <c r="F73" s="26"/>
      <c r="L73" s="26">
        <v>70</v>
      </c>
      <c r="M73" t="s">
        <v>250</v>
      </c>
      <c r="N73" s="1" t="str">
        <f t="shared" si="6"/>
        <v/>
      </c>
      <c r="O73" s="31"/>
      <c r="P73" s="34" t="str">
        <f t="shared" si="7"/>
        <v/>
      </c>
      <c r="R73" t="s">
        <v>250</v>
      </c>
      <c r="S73" s="1" t="str">
        <f t="shared" si="5"/>
        <v/>
      </c>
      <c r="T73" s="1"/>
      <c r="U73" s="35" t="str">
        <f t="shared" si="8"/>
        <v/>
      </c>
    </row>
    <row r="74" spans="1:21" x14ac:dyDescent="0.25">
      <c r="A74" s="26"/>
      <c r="B74" s="26"/>
      <c r="C74" s="26"/>
      <c r="D74" s="26"/>
      <c r="E74" s="26"/>
      <c r="F74" s="26"/>
      <c r="L74" s="26">
        <v>71</v>
      </c>
      <c r="M74" t="s">
        <v>249</v>
      </c>
      <c r="N74" s="1" t="str">
        <f t="shared" si="6"/>
        <v/>
      </c>
      <c r="O74" s="31"/>
      <c r="P74" s="34" t="str">
        <f t="shared" si="7"/>
        <v/>
      </c>
      <c r="R74" t="s">
        <v>249</v>
      </c>
      <c r="S74" s="1" t="str">
        <f t="shared" si="5"/>
        <v/>
      </c>
      <c r="T74" s="1"/>
      <c r="U74" s="35" t="str">
        <f t="shared" si="8"/>
        <v/>
      </c>
    </row>
    <row r="75" spans="1:21" x14ac:dyDescent="0.25">
      <c r="A75" s="26"/>
      <c r="B75" s="26"/>
      <c r="C75" s="26"/>
      <c r="D75" s="26"/>
      <c r="E75" s="26"/>
      <c r="F75" s="26"/>
      <c r="L75" s="26">
        <v>72</v>
      </c>
      <c r="M75" t="s">
        <v>248</v>
      </c>
      <c r="N75" s="1" t="str">
        <f t="shared" si="6"/>
        <v/>
      </c>
      <c r="O75" s="31"/>
      <c r="P75" s="34" t="str">
        <f t="shared" si="7"/>
        <v/>
      </c>
      <c r="R75" t="s">
        <v>248</v>
      </c>
      <c r="S75" s="1" t="str">
        <f t="shared" si="5"/>
        <v/>
      </c>
      <c r="T75" s="1"/>
      <c r="U75" s="35" t="str">
        <f t="shared" si="8"/>
        <v/>
      </c>
    </row>
    <row r="76" spans="1:21" x14ac:dyDescent="0.25">
      <c r="A76" s="26"/>
      <c r="B76" s="26"/>
      <c r="C76" s="26"/>
      <c r="D76" s="26"/>
      <c r="E76" s="26"/>
      <c r="F76" s="26"/>
      <c r="L76" s="26">
        <v>73</v>
      </c>
      <c r="M76" t="s">
        <v>247</v>
      </c>
      <c r="N76" s="1" t="str">
        <f t="shared" si="6"/>
        <v/>
      </c>
      <c r="O76" s="31"/>
      <c r="P76" s="34" t="str">
        <f t="shared" si="7"/>
        <v/>
      </c>
      <c r="R76" t="s">
        <v>247</v>
      </c>
      <c r="S76" s="1" t="str">
        <f t="shared" si="5"/>
        <v/>
      </c>
      <c r="T76" s="1"/>
      <c r="U76" s="35" t="str">
        <f t="shared" si="8"/>
        <v/>
      </c>
    </row>
    <row r="77" spans="1:21" x14ac:dyDescent="0.25">
      <c r="A77" s="26"/>
      <c r="B77" s="26"/>
      <c r="C77" s="26"/>
      <c r="D77" s="26"/>
      <c r="E77" s="26"/>
      <c r="F77" s="26"/>
      <c r="L77" s="26">
        <v>74</v>
      </c>
      <c r="M77" t="s">
        <v>246</v>
      </c>
      <c r="N77" s="1" t="str">
        <f t="shared" si="6"/>
        <v/>
      </c>
      <c r="O77" s="31"/>
      <c r="P77" s="34" t="str">
        <f t="shared" si="7"/>
        <v/>
      </c>
      <c r="R77" t="s">
        <v>246</v>
      </c>
      <c r="S77" s="1" t="str">
        <f t="shared" si="5"/>
        <v/>
      </c>
      <c r="T77" s="1"/>
      <c r="U77" s="35" t="str">
        <f t="shared" si="8"/>
        <v/>
      </c>
    </row>
    <row r="78" spans="1:21" x14ac:dyDescent="0.25">
      <c r="A78" s="26"/>
      <c r="B78" s="26"/>
      <c r="C78" s="26"/>
      <c r="D78" s="26"/>
      <c r="E78" s="26"/>
      <c r="F78" s="26"/>
      <c r="L78" s="26">
        <v>75</v>
      </c>
      <c r="M78" t="s">
        <v>245</v>
      </c>
      <c r="N78" s="1" t="str">
        <f t="shared" si="6"/>
        <v/>
      </c>
      <c r="O78" s="31"/>
      <c r="P78" s="34" t="str">
        <f t="shared" si="7"/>
        <v/>
      </c>
      <c r="R78" t="s">
        <v>245</v>
      </c>
      <c r="S78" s="1" t="str">
        <f t="shared" si="5"/>
        <v/>
      </c>
      <c r="T78" s="1"/>
      <c r="U78" s="35" t="str">
        <f t="shared" si="8"/>
        <v/>
      </c>
    </row>
    <row r="79" spans="1:21" x14ac:dyDescent="0.25">
      <c r="A79" s="26"/>
      <c r="B79" s="26"/>
      <c r="C79" s="26"/>
      <c r="D79" s="26"/>
      <c r="E79" s="26"/>
      <c r="F79" s="26"/>
      <c r="L79" s="26">
        <v>76</v>
      </c>
      <c r="M79" t="s">
        <v>244</v>
      </c>
      <c r="N79" s="1" t="str">
        <f t="shared" si="6"/>
        <v/>
      </c>
      <c r="O79" s="31"/>
      <c r="P79" s="34" t="str">
        <f t="shared" si="7"/>
        <v/>
      </c>
      <c r="R79" t="s">
        <v>244</v>
      </c>
      <c r="S79" s="1" t="str">
        <f t="shared" si="5"/>
        <v/>
      </c>
      <c r="T79" s="1"/>
      <c r="U79" s="35" t="str">
        <f t="shared" si="8"/>
        <v/>
      </c>
    </row>
    <row r="80" spans="1:21" x14ac:dyDescent="0.25">
      <c r="A80" s="26"/>
      <c r="B80" s="26"/>
      <c r="C80" s="26"/>
      <c r="D80" s="26"/>
      <c r="E80" s="26"/>
      <c r="F80" s="26"/>
      <c r="L80" s="26">
        <v>77</v>
      </c>
      <c r="M80" t="s">
        <v>243</v>
      </c>
      <c r="N80" s="1" t="str">
        <f t="shared" si="6"/>
        <v/>
      </c>
      <c r="O80" s="31"/>
      <c r="P80" s="34" t="str">
        <f t="shared" si="7"/>
        <v/>
      </c>
      <c r="R80" t="s">
        <v>243</v>
      </c>
      <c r="S80" s="1" t="str">
        <f t="shared" si="5"/>
        <v/>
      </c>
      <c r="T80" s="1"/>
      <c r="U80" s="35" t="str">
        <f t="shared" si="8"/>
        <v/>
      </c>
    </row>
    <row r="81" spans="1:21" x14ac:dyDescent="0.25">
      <c r="A81" s="26"/>
      <c r="B81" s="26"/>
      <c r="C81" s="26"/>
      <c r="D81" s="26"/>
      <c r="E81" s="26"/>
      <c r="F81" s="26"/>
      <c r="L81" s="26">
        <v>78</v>
      </c>
      <c r="M81" t="s">
        <v>242</v>
      </c>
      <c r="N81" s="1" t="str">
        <f t="shared" si="6"/>
        <v/>
      </c>
      <c r="O81" s="31"/>
      <c r="P81" s="34" t="str">
        <f t="shared" si="7"/>
        <v/>
      </c>
      <c r="R81" t="s">
        <v>242</v>
      </c>
      <c r="S81" s="1" t="str">
        <f t="shared" si="5"/>
        <v/>
      </c>
      <c r="T81" s="1"/>
      <c r="U81" s="35" t="str">
        <f t="shared" si="8"/>
        <v/>
      </c>
    </row>
    <row r="82" spans="1:21" x14ac:dyDescent="0.25">
      <c r="A82" s="26"/>
      <c r="B82" s="26"/>
      <c r="C82" s="26"/>
      <c r="D82" s="26"/>
      <c r="E82" s="26"/>
      <c r="F82" s="26"/>
      <c r="L82" s="26">
        <v>79</v>
      </c>
      <c r="M82" t="s">
        <v>241</v>
      </c>
      <c r="N82" s="1" t="str">
        <f t="shared" si="6"/>
        <v/>
      </c>
      <c r="O82" s="31"/>
      <c r="P82" s="34" t="str">
        <f t="shared" si="7"/>
        <v/>
      </c>
      <c r="R82" t="s">
        <v>241</v>
      </c>
      <c r="S82" s="1" t="str">
        <f t="shared" si="5"/>
        <v/>
      </c>
      <c r="T82" s="1"/>
      <c r="U82" s="35" t="str">
        <f t="shared" si="8"/>
        <v/>
      </c>
    </row>
    <row r="83" spans="1:21" x14ac:dyDescent="0.25">
      <c r="A83" s="26"/>
      <c r="B83" s="26"/>
      <c r="C83" s="26"/>
      <c r="D83" s="26"/>
      <c r="E83" s="26"/>
      <c r="F83" s="26"/>
      <c r="L83" s="26">
        <v>80</v>
      </c>
      <c r="M83" t="s">
        <v>240</v>
      </c>
      <c r="N83" s="1" t="str">
        <f t="shared" si="6"/>
        <v/>
      </c>
      <c r="O83" s="31"/>
      <c r="P83" s="34" t="str">
        <f t="shared" si="7"/>
        <v/>
      </c>
      <c r="R83" t="s">
        <v>240</v>
      </c>
      <c r="S83" s="1" t="str">
        <f t="shared" si="5"/>
        <v/>
      </c>
      <c r="T83" s="1"/>
      <c r="U83" s="35" t="str">
        <f t="shared" si="8"/>
        <v/>
      </c>
    </row>
    <row r="84" spans="1:21" x14ac:dyDescent="0.25">
      <c r="A84" s="26"/>
      <c r="B84" s="26"/>
      <c r="C84" s="26"/>
      <c r="D84" s="26"/>
      <c r="E84" s="26"/>
      <c r="F84" s="26"/>
      <c r="L84" s="26">
        <v>81</v>
      </c>
      <c r="M84" t="s">
        <v>239</v>
      </c>
      <c r="N84" s="1" t="str">
        <f t="shared" si="6"/>
        <v/>
      </c>
      <c r="O84" s="31"/>
      <c r="P84" s="34" t="str">
        <f t="shared" si="7"/>
        <v/>
      </c>
      <c r="R84" t="s">
        <v>239</v>
      </c>
      <c r="S84" s="1" t="str">
        <f t="shared" si="5"/>
        <v/>
      </c>
      <c r="T84" s="1"/>
      <c r="U84" s="35" t="str">
        <f t="shared" si="8"/>
        <v/>
      </c>
    </row>
    <row r="85" spans="1:21" x14ac:dyDescent="0.25">
      <c r="A85" s="26"/>
      <c r="B85" s="26"/>
      <c r="C85" s="26"/>
      <c r="D85" s="26"/>
      <c r="E85" s="26"/>
      <c r="F85" s="26"/>
      <c r="L85" s="26">
        <v>82</v>
      </c>
      <c r="M85" t="s">
        <v>238</v>
      </c>
      <c r="N85" s="1" t="str">
        <f t="shared" si="6"/>
        <v/>
      </c>
      <c r="O85" s="31"/>
      <c r="P85" s="34" t="str">
        <f t="shared" si="7"/>
        <v/>
      </c>
      <c r="R85" t="s">
        <v>238</v>
      </c>
      <c r="S85" s="1" t="str">
        <f t="shared" si="5"/>
        <v/>
      </c>
      <c r="T85" s="1"/>
      <c r="U85" s="35" t="str">
        <f t="shared" si="8"/>
        <v/>
      </c>
    </row>
    <row r="86" spans="1:21" x14ac:dyDescent="0.25">
      <c r="A86" s="26"/>
      <c r="B86" s="26"/>
      <c r="C86" s="26"/>
      <c r="D86" s="26"/>
      <c r="E86" s="26"/>
      <c r="F86" s="26"/>
      <c r="L86" s="26">
        <v>83</v>
      </c>
      <c r="M86" t="s">
        <v>237</v>
      </c>
      <c r="N86" s="1" t="str">
        <f t="shared" si="6"/>
        <v/>
      </c>
      <c r="O86" s="31"/>
      <c r="P86" s="34" t="str">
        <f t="shared" si="7"/>
        <v/>
      </c>
      <c r="R86" t="s">
        <v>237</v>
      </c>
      <c r="S86" s="1" t="str">
        <f t="shared" si="5"/>
        <v/>
      </c>
      <c r="T86" s="1"/>
      <c r="U86" s="35" t="str">
        <f t="shared" si="8"/>
        <v/>
      </c>
    </row>
    <row r="87" spans="1:21" x14ac:dyDescent="0.25">
      <c r="A87" s="26"/>
      <c r="B87" s="26"/>
      <c r="C87" s="26"/>
      <c r="D87" s="26"/>
      <c r="E87" s="26"/>
      <c r="F87" s="26"/>
      <c r="L87" s="26">
        <v>84</v>
      </c>
      <c r="M87" t="s">
        <v>236</v>
      </c>
      <c r="N87" s="1" t="str">
        <f t="shared" si="6"/>
        <v/>
      </c>
      <c r="O87" s="31"/>
      <c r="P87" s="34" t="str">
        <f t="shared" si="7"/>
        <v/>
      </c>
      <c r="R87" t="s">
        <v>236</v>
      </c>
      <c r="S87" s="1" t="str">
        <f t="shared" si="5"/>
        <v/>
      </c>
      <c r="T87" s="1"/>
      <c r="U87" s="35" t="str">
        <f t="shared" si="8"/>
        <v/>
      </c>
    </row>
    <row r="88" spans="1:21" x14ac:dyDescent="0.25">
      <c r="A88" s="26"/>
      <c r="B88" s="26"/>
      <c r="C88" s="26"/>
      <c r="D88" s="26"/>
      <c r="E88" s="26"/>
      <c r="F88" s="26"/>
      <c r="L88" s="26">
        <v>85</v>
      </c>
      <c r="M88" t="s">
        <v>235</v>
      </c>
      <c r="N88" s="1" t="str">
        <f t="shared" si="6"/>
        <v/>
      </c>
      <c r="O88" s="31"/>
      <c r="P88" s="34" t="str">
        <f t="shared" si="7"/>
        <v/>
      </c>
      <c r="R88" t="s">
        <v>235</v>
      </c>
      <c r="S88" s="1" t="str">
        <f t="shared" ref="S88:S151" si="9">IF(L88&gt;$I$2,"",E88/$D$3-1)</f>
        <v/>
      </c>
      <c r="T88" s="1"/>
      <c r="U88" s="35" t="str">
        <f t="shared" si="8"/>
        <v/>
      </c>
    </row>
    <row r="89" spans="1:21" x14ac:dyDescent="0.25">
      <c r="A89" s="26"/>
      <c r="B89" s="26"/>
      <c r="C89" s="26"/>
      <c r="D89" s="26"/>
      <c r="E89" s="26"/>
      <c r="F89" s="26"/>
      <c r="L89" s="26">
        <v>86</v>
      </c>
      <c r="M89" t="s">
        <v>234</v>
      </c>
      <c r="N89" s="1" t="str">
        <f t="shared" si="6"/>
        <v/>
      </c>
      <c r="O89" s="31"/>
      <c r="P89" s="34" t="str">
        <f t="shared" si="7"/>
        <v/>
      </c>
      <c r="R89" t="s">
        <v>234</v>
      </c>
      <c r="S89" s="1" t="str">
        <f t="shared" si="9"/>
        <v/>
      </c>
      <c r="T89" s="1"/>
      <c r="U89" s="35" t="str">
        <f t="shared" si="8"/>
        <v/>
      </c>
    </row>
    <row r="90" spans="1:21" x14ac:dyDescent="0.25">
      <c r="A90" s="26"/>
      <c r="B90" s="26"/>
      <c r="C90" s="26"/>
      <c r="D90" s="26"/>
      <c r="E90" s="26"/>
      <c r="F90" s="26"/>
      <c r="L90" s="26">
        <v>87</v>
      </c>
      <c r="M90" t="s">
        <v>233</v>
      </c>
      <c r="N90" s="1" t="str">
        <f t="shared" si="6"/>
        <v/>
      </c>
      <c r="O90" s="31"/>
      <c r="P90" s="34" t="str">
        <f t="shared" si="7"/>
        <v/>
      </c>
      <c r="R90" t="s">
        <v>233</v>
      </c>
      <c r="S90" s="1" t="str">
        <f t="shared" si="9"/>
        <v/>
      </c>
      <c r="T90" s="1"/>
      <c r="U90" s="35" t="str">
        <f t="shared" si="8"/>
        <v/>
      </c>
    </row>
    <row r="91" spans="1:21" x14ac:dyDescent="0.25">
      <c r="A91" s="26"/>
      <c r="B91" s="26"/>
      <c r="C91" s="26"/>
      <c r="D91" s="26"/>
      <c r="E91" s="26"/>
      <c r="F91" s="26"/>
      <c r="L91" s="26">
        <v>88</v>
      </c>
      <c r="M91" t="s">
        <v>232</v>
      </c>
      <c r="N91" s="1" t="str">
        <f t="shared" si="6"/>
        <v/>
      </c>
      <c r="O91" s="31"/>
      <c r="P91" s="34" t="str">
        <f t="shared" si="7"/>
        <v/>
      </c>
      <c r="R91" t="s">
        <v>232</v>
      </c>
      <c r="S91" s="1" t="str">
        <f t="shared" si="9"/>
        <v/>
      </c>
      <c r="T91" s="1"/>
      <c r="U91" s="35" t="str">
        <f t="shared" si="8"/>
        <v/>
      </c>
    </row>
    <row r="92" spans="1:21" x14ac:dyDescent="0.25">
      <c r="A92" s="26"/>
      <c r="B92" s="26"/>
      <c r="C92" s="26"/>
      <c r="D92" s="26"/>
      <c r="E92" s="26"/>
      <c r="F92" s="26"/>
      <c r="L92" s="26">
        <v>89</v>
      </c>
      <c r="M92" t="s">
        <v>231</v>
      </c>
      <c r="N92" s="1" t="str">
        <f t="shared" si="6"/>
        <v/>
      </c>
      <c r="O92" s="31"/>
      <c r="P92" s="34" t="str">
        <f t="shared" si="7"/>
        <v/>
      </c>
      <c r="R92" t="s">
        <v>231</v>
      </c>
      <c r="S92" s="1" t="str">
        <f t="shared" si="9"/>
        <v/>
      </c>
      <c r="T92" s="1"/>
      <c r="U92" s="35" t="str">
        <f t="shared" si="8"/>
        <v/>
      </c>
    </row>
    <row r="93" spans="1:21" x14ac:dyDescent="0.25">
      <c r="A93" s="26"/>
      <c r="B93" s="26"/>
      <c r="C93" s="26"/>
      <c r="D93" s="26"/>
      <c r="E93" s="26"/>
      <c r="F93" s="26"/>
      <c r="L93" s="26">
        <v>90</v>
      </c>
      <c r="M93" t="s">
        <v>230</v>
      </c>
      <c r="N93" s="1" t="str">
        <f t="shared" si="6"/>
        <v/>
      </c>
      <c r="O93" s="31"/>
      <c r="P93" s="34" t="str">
        <f t="shared" si="7"/>
        <v/>
      </c>
      <c r="R93" t="s">
        <v>230</v>
      </c>
      <c r="S93" s="1" t="str">
        <f t="shared" si="9"/>
        <v/>
      </c>
      <c r="T93" s="1"/>
      <c r="U93" s="35" t="str">
        <f t="shared" si="8"/>
        <v/>
      </c>
    </row>
    <row r="94" spans="1:21" x14ac:dyDescent="0.25">
      <c r="A94" s="26"/>
      <c r="B94" s="26"/>
      <c r="C94" s="26"/>
      <c r="D94" s="26"/>
      <c r="E94" s="26"/>
      <c r="F94" s="26"/>
      <c r="L94" s="26">
        <v>91</v>
      </c>
      <c r="M94" t="s">
        <v>229</v>
      </c>
      <c r="N94" s="1" t="str">
        <f t="shared" si="6"/>
        <v/>
      </c>
      <c r="O94" s="31"/>
      <c r="P94" s="34" t="str">
        <f t="shared" si="7"/>
        <v/>
      </c>
      <c r="R94" t="s">
        <v>229</v>
      </c>
      <c r="S94" s="1" t="str">
        <f t="shared" si="9"/>
        <v/>
      </c>
      <c r="T94" s="1"/>
      <c r="U94" s="35" t="str">
        <f t="shared" si="8"/>
        <v/>
      </c>
    </row>
    <row r="95" spans="1:21" x14ac:dyDescent="0.25">
      <c r="A95" s="26"/>
      <c r="B95" s="26"/>
      <c r="C95" s="26"/>
      <c r="D95" s="26"/>
      <c r="E95" s="26"/>
      <c r="F95" s="26"/>
      <c r="L95" s="26">
        <v>92</v>
      </c>
      <c r="M95" t="s">
        <v>228</v>
      </c>
      <c r="N95" s="1" t="str">
        <f t="shared" si="6"/>
        <v/>
      </c>
      <c r="O95" s="31"/>
      <c r="P95" s="34" t="str">
        <f t="shared" si="7"/>
        <v/>
      </c>
      <c r="R95" t="s">
        <v>228</v>
      </c>
      <c r="S95" s="1" t="str">
        <f t="shared" si="9"/>
        <v/>
      </c>
      <c r="T95" s="1"/>
      <c r="U95" s="35" t="str">
        <f t="shared" si="8"/>
        <v/>
      </c>
    </row>
    <row r="96" spans="1:21" x14ac:dyDescent="0.25">
      <c r="L96" s="26">
        <v>93</v>
      </c>
      <c r="M96" t="s">
        <v>227</v>
      </c>
      <c r="N96" s="1" t="str">
        <f t="shared" si="6"/>
        <v/>
      </c>
      <c r="O96" s="31"/>
      <c r="P96" s="34" t="str">
        <f t="shared" si="7"/>
        <v/>
      </c>
      <c r="R96" t="s">
        <v>227</v>
      </c>
      <c r="S96" s="1" t="str">
        <f t="shared" si="9"/>
        <v/>
      </c>
      <c r="T96" s="1"/>
      <c r="U96" s="35" t="str">
        <f t="shared" si="8"/>
        <v/>
      </c>
    </row>
    <row r="97" spans="12:21" x14ac:dyDescent="0.25">
      <c r="L97" s="26">
        <v>94</v>
      </c>
      <c r="M97" t="s">
        <v>226</v>
      </c>
      <c r="N97" s="1" t="str">
        <f t="shared" si="6"/>
        <v/>
      </c>
      <c r="O97" s="31"/>
      <c r="P97" s="34" t="str">
        <f t="shared" si="7"/>
        <v/>
      </c>
      <c r="R97" t="s">
        <v>226</v>
      </c>
      <c r="S97" s="1" t="str">
        <f t="shared" si="9"/>
        <v/>
      </c>
      <c r="T97" s="1"/>
      <c r="U97" s="35" t="str">
        <f t="shared" si="8"/>
        <v/>
      </c>
    </row>
    <row r="98" spans="12:21" x14ac:dyDescent="0.25">
      <c r="L98" s="26">
        <v>95</v>
      </c>
      <c r="M98" t="s">
        <v>225</v>
      </c>
      <c r="N98" s="1" t="str">
        <f t="shared" si="6"/>
        <v/>
      </c>
      <c r="O98" s="31"/>
      <c r="P98" s="34" t="str">
        <f t="shared" si="7"/>
        <v/>
      </c>
      <c r="R98" t="s">
        <v>225</v>
      </c>
      <c r="S98" s="1" t="str">
        <f t="shared" si="9"/>
        <v/>
      </c>
      <c r="T98" s="1"/>
      <c r="U98" s="35" t="str">
        <f t="shared" si="8"/>
        <v/>
      </c>
    </row>
    <row r="99" spans="12:21" x14ac:dyDescent="0.25">
      <c r="L99" s="26">
        <v>96</v>
      </c>
      <c r="M99" t="s">
        <v>224</v>
      </c>
      <c r="N99" s="1" t="str">
        <f t="shared" si="6"/>
        <v/>
      </c>
      <c r="O99" s="31"/>
      <c r="P99" s="34" t="str">
        <f t="shared" si="7"/>
        <v/>
      </c>
      <c r="R99" t="s">
        <v>224</v>
      </c>
      <c r="S99" s="1" t="str">
        <f t="shared" si="9"/>
        <v/>
      </c>
      <c r="T99" s="1"/>
      <c r="U99" s="35" t="str">
        <f t="shared" si="8"/>
        <v/>
      </c>
    </row>
    <row r="100" spans="12:21" x14ac:dyDescent="0.25">
      <c r="L100" s="26">
        <v>97</v>
      </c>
      <c r="M100" t="s">
        <v>223</v>
      </c>
      <c r="N100" s="1" t="str">
        <f t="shared" si="6"/>
        <v/>
      </c>
      <c r="O100" s="31"/>
      <c r="P100" s="34" t="str">
        <f t="shared" si="7"/>
        <v/>
      </c>
      <c r="R100" t="s">
        <v>223</v>
      </c>
      <c r="S100" s="1" t="str">
        <f t="shared" si="9"/>
        <v/>
      </c>
      <c r="T100" s="1"/>
      <c r="U100" s="35" t="str">
        <f t="shared" si="8"/>
        <v/>
      </c>
    </row>
    <row r="101" spans="12:21" x14ac:dyDescent="0.25">
      <c r="L101" s="26">
        <v>98</v>
      </c>
      <c r="M101" t="s">
        <v>222</v>
      </c>
      <c r="N101" s="1" t="str">
        <f t="shared" si="6"/>
        <v/>
      </c>
      <c r="O101" s="31"/>
      <c r="P101" s="34" t="str">
        <f t="shared" si="7"/>
        <v/>
      </c>
      <c r="R101" t="s">
        <v>222</v>
      </c>
      <c r="S101" s="1" t="str">
        <f t="shared" si="9"/>
        <v/>
      </c>
      <c r="T101" s="1"/>
      <c r="U101" s="35" t="str">
        <f t="shared" si="8"/>
        <v/>
      </c>
    </row>
    <row r="102" spans="12:21" x14ac:dyDescent="0.25">
      <c r="L102" s="26">
        <v>99</v>
      </c>
      <c r="M102" t="s">
        <v>221</v>
      </c>
      <c r="N102" s="1" t="str">
        <f t="shared" si="6"/>
        <v/>
      </c>
      <c r="O102" s="31"/>
      <c r="P102" s="34" t="str">
        <f t="shared" si="7"/>
        <v/>
      </c>
      <c r="R102" t="s">
        <v>221</v>
      </c>
      <c r="S102" s="1" t="str">
        <f t="shared" si="9"/>
        <v/>
      </c>
      <c r="T102" s="1"/>
      <c r="U102" s="35" t="str">
        <f t="shared" si="8"/>
        <v/>
      </c>
    </row>
    <row r="103" spans="12:21" x14ac:dyDescent="0.25">
      <c r="L103" s="26">
        <v>100</v>
      </c>
      <c r="M103" t="s">
        <v>220</v>
      </c>
      <c r="N103" s="1" t="str">
        <f t="shared" si="6"/>
        <v/>
      </c>
      <c r="O103" s="31"/>
      <c r="P103" s="34" t="str">
        <f t="shared" si="7"/>
        <v/>
      </c>
      <c r="R103" t="s">
        <v>220</v>
      </c>
      <c r="S103" s="1" t="str">
        <f t="shared" si="9"/>
        <v/>
      </c>
      <c r="T103" s="1"/>
      <c r="U103" s="35" t="str">
        <f t="shared" si="8"/>
        <v/>
      </c>
    </row>
    <row r="104" spans="12:21" x14ac:dyDescent="0.25">
      <c r="L104" s="26">
        <v>101</v>
      </c>
      <c r="M104" t="s">
        <v>219</v>
      </c>
      <c r="N104" s="1" t="str">
        <f t="shared" si="6"/>
        <v/>
      </c>
      <c r="O104" s="31"/>
      <c r="P104" s="34" t="str">
        <f t="shared" si="7"/>
        <v/>
      </c>
      <c r="R104" t="s">
        <v>219</v>
      </c>
      <c r="S104" s="1" t="str">
        <f t="shared" si="9"/>
        <v/>
      </c>
      <c r="T104" s="1"/>
      <c r="U104" s="35" t="str">
        <f t="shared" si="8"/>
        <v/>
      </c>
    </row>
    <row r="105" spans="12:21" x14ac:dyDescent="0.25">
      <c r="L105" s="26">
        <v>102</v>
      </c>
      <c r="M105" t="s">
        <v>218</v>
      </c>
      <c r="N105" s="1" t="str">
        <f t="shared" si="6"/>
        <v/>
      </c>
      <c r="O105" s="31"/>
      <c r="P105" s="34" t="str">
        <f t="shared" si="7"/>
        <v/>
      </c>
      <c r="R105" t="s">
        <v>218</v>
      </c>
      <c r="S105" s="1" t="str">
        <f t="shared" si="9"/>
        <v/>
      </c>
      <c r="T105" s="1"/>
      <c r="U105" s="35" t="str">
        <f t="shared" si="8"/>
        <v/>
      </c>
    </row>
    <row r="106" spans="12:21" x14ac:dyDescent="0.25">
      <c r="L106" s="26">
        <v>103</v>
      </c>
      <c r="M106" t="s">
        <v>217</v>
      </c>
      <c r="N106" s="1" t="str">
        <f t="shared" si="6"/>
        <v/>
      </c>
      <c r="O106" s="31"/>
      <c r="P106" s="34" t="str">
        <f t="shared" si="7"/>
        <v/>
      </c>
      <c r="R106" t="s">
        <v>217</v>
      </c>
      <c r="S106" s="1" t="str">
        <f t="shared" si="9"/>
        <v/>
      </c>
      <c r="T106" s="1"/>
      <c r="U106" s="35" t="str">
        <f t="shared" si="8"/>
        <v/>
      </c>
    </row>
    <row r="107" spans="12:21" x14ac:dyDescent="0.25">
      <c r="L107" s="26">
        <v>104</v>
      </c>
      <c r="M107" t="s">
        <v>216</v>
      </c>
      <c r="N107" s="1" t="str">
        <f t="shared" si="6"/>
        <v/>
      </c>
      <c r="O107" s="31"/>
      <c r="P107" s="34" t="str">
        <f t="shared" si="7"/>
        <v/>
      </c>
      <c r="R107" t="s">
        <v>216</v>
      </c>
      <c r="S107" s="1" t="str">
        <f t="shared" si="9"/>
        <v/>
      </c>
      <c r="T107" s="1"/>
      <c r="U107" s="35" t="str">
        <f t="shared" si="8"/>
        <v/>
      </c>
    </row>
    <row r="108" spans="12:21" x14ac:dyDescent="0.25">
      <c r="L108" s="26">
        <v>105</v>
      </c>
      <c r="M108" t="s">
        <v>215</v>
      </c>
      <c r="N108" s="1" t="str">
        <f t="shared" si="6"/>
        <v/>
      </c>
      <c r="O108" s="31"/>
      <c r="P108" s="34" t="str">
        <f t="shared" si="7"/>
        <v/>
      </c>
      <c r="R108" t="s">
        <v>215</v>
      </c>
      <c r="S108" s="1" t="str">
        <f t="shared" si="9"/>
        <v/>
      </c>
      <c r="T108" s="1"/>
      <c r="U108" s="35" t="str">
        <f t="shared" si="8"/>
        <v/>
      </c>
    </row>
    <row r="109" spans="12:21" x14ac:dyDescent="0.25">
      <c r="L109" s="26">
        <v>106</v>
      </c>
      <c r="M109" t="s">
        <v>214</v>
      </c>
      <c r="N109" s="1" t="str">
        <f t="shared" si="6"/>
        <v/>
      </c>
      <c r="O109" s="31"/>
      <c r="P109" s="34" t="str">
        <f t="shared" si="7"/>
        <v/>
      </c>
      <c r="R109" t="s">
        <v>214</v>
      </c>
      <c r="S109" s="1" t="str">
        <f t="shared" si="9"/>
        <v/>
      </c>
      <c r="T109" s="1"/>
      <c r="U109" s="35" t="str">
        <f t="shared" si="8"/>
        <v/>
      </c>
    </row>
    <row r="110" spans="12:21" x14ac:dyDescent="0.25">
      <c r="L110" s="26">
        <v>107</v>
      </c>
      <c r="M110" t="s">
        <v>213</v>
      </c>
      <c r="N110" s="1" t="str">
        <f t="shared" si="6"/>
        <v/>
      </c>
      <c r="O110" s="31"/>
      <c r="P110" s="34" t="str">
        <f t="shared" si="7"/>
        <v/>
      </c>
      <c r="R110" t="s">
        <v>213</v>
      </c>
      <c r="S110" s="1" t="str">
        <f t="shared" si="9"/>
        <v/>
      </c>
      <c r="T110" s="1"/>
      <c r="U110" s="35" t="str">
        <f t="shared" si="8"/>
        <v/>
      </c>
    </row>
    <row r="111" spans="12:21" x14ac:dyDescent="0.25">
      <c r="L111" s="26">
        <v>108</v>
      </c>
      <c r="M111" t="s">
        <v>212</v>
      </c>
      <c r="N111" s="1" t="str">
        <f t="shared" si="6"/>
        <v/>
      </c>
      <c r="O111" s="31"/>
      <c r="P111" s="34" t="str">
        <f t="shared" si="7"/>
        <v/>
      </c>
      <c r="R111" t="s">
        <v>212</v>
      </c>
      <c r="S111" s="1" t="str">
        <f t="shared" si="9"/>
        <v/>
      </c>
      <c r="T111" s="1"/>
      <c r="U111" s="35" t="str">
        <f t="shared" si="8"/>
        <v/>
      </c>
    </row>
    <row r="112" spans="12:21" x14ac:dyDescent="0.25">
      <c r="L112" s="26">
        <v>109</v>
      </c>
      <c r="M112" t="s">
        <v>211</v>
      </c>
      <c r="N112" s="1" t="str">
        <f t="shared" si="6"/>
        <v/>
      </c>
      <c r="O112" s="31"/>
      <c r="P112" s="34" t="str">
        <f t="shared" si="7"/>
        <v/>
      </c>
      <c r="R112" t="s">
        <v>211</v>
      </c>
      <c r="S112" s="1" t="str">
        <f t="shared" si="9"/>
        <v/>
      </c>
      <c r="T112" s="1"/>
      <c r="U112" s="35" t="str">
        <f t="shared" si="8"/>
        <v/>
      </c>
    </row>
    <row r="113" spans="12:21" x14ac:dyDescent="0.25">
      <c r="L113" s="26">
        <v>110</v>
      </c>
      <c r="M113" t="s">
        <v>210</v>
      </c>
      <c r="N113" s="1" t="str">
        <f t="shared" si="6"/>
        <v/>
      </c>
      <c r="O113" s="31"/>
      <c r="P113" s="34" t="str">
        <f t="shared" si="7"/>
        <v/>
      </c>
      <c r="R113" t="s">
        <v>210</v>
      </c>
      <c r="S113" s="1" t="str">
        <f t="shared" si="9"/>
        <v/>
      </c>
      <c r="T113" s="1"/>
      <c r="U113" s="35" t="str">
        <f t="shared" si="8"/>
        <v/>
      </c>
    </row>
    <row r="114" spans="12:21" x14ac:dyDescent="0.25">
      <c r="L114" s="26">
        <v>111</v>
      </c>
      <c r="M114" t="s">
        <v>209</v>
      </c>
      <c r="N114" s="1" t="str">
        <f t="shared" si="6"/>
        <v/>
      </c>
      <c r="O114" s="31"/>
      <c r="P114" s="34" t="str">
        <f t="shared" si="7"/>
        <v/>
      </c>
      <c r="R114" t="s">
        <v>209</v>
      </c>
      <c r="S114" s="1" t="str">
        <f t="shared" si="9"/>
        <v/>
      </c>
      <c r="T114" s="1"/>
      <c r="U114" s="35" t="str">
        <f t="shared" si="8"/>
        <v/>
      </c>
    </row>
    <row r="115" spans="12:21" x14ac:dyDescent="0.25">
      <c r="L115" s="26">
        <v>112</v>
      </c>
      <c r="M115" t="s">
        <v>208</v>
      </c>
      <c r="N115" s="1" t="str">
        <f t="shared" si="6"/>
        <v/>
      </c>
      <c r="O115" s="31"/>
      <c r="P115" s="34" t="str">
        <f t="shared" si="7"/>
        <v/>
      </c>
      <c r="R115" t="s">
        <v>208</v>
      </c>
      <c r="S115" s="1" t="str">
        <f t="shared" si="9"/>
        <v/>
      </c>
      <c r="T115" s="1"/>
      <c r="U115" s="35" t="str">
        <f t="shared" si="8"/>
        <v/>
      </c>
    </row>
    <row r="116" spans="12:21" x14ac:dyDescent="0.25">
      <c r="L116" s="26">
        <v>113</v>
      </c>
      <c r="M116" t="s">
        <v>207</v>
      </c>
      <c r="N116" s="1" t="str">
        <f t="shared" si="6"/>
        <v/>
      </c>
      <c r="O116" s="31"/>
      <c r="P116" s="34" t="str">
        <f t="shared" si="7"/>
        <v/>
      </c>
      <c r="R116" t="s">
        <v>207</v>
      </c>
      <c r="S116" s="1" t="str">
        <f t="shared" si="9"/>
        <v/>
      </c>
      <c r="T116" s="1"/>
      <c r="U116" s="35" t="str">
        <f t="shared" si="8"/>
        <v/>
      </c>
    </row>
    <row r="117" spans="12:21" x14ac:dyDescent="0.25">
      <c r="L117" s="26">
        <v>114</v>
      </c>
      <c r="M117" t="s">
        <v>206</v>
      </c>
      <c r="N117" s="1" t="str">
        <f t="shared" si="6"/>
        <v/>
      </c>
      <c r="O117" s="31"/>
      <c r="P117" s="34" t="str">
        <f t="shared" si="7"/>
        <v/>
      </c>
      <c r="R117" t="s">
        <v>206</v>
      </c>
      <c r="S117" s="1" t="str">
        <f t="shared" si="9"/>
        <v/>
      </c>
      <c r="T117" s="1"/>
      <c r="U117" s="35" t="str">
        <f t="shared" si="8"/>
        <v/>
      </c>
    </row>
    <row r="118" spans="12:21" x14ac:dyDescent="0.25">
      <c r="L118" s="26">
        <v>115</v>
      </c>
      <c r="M118" t="s">
        <v>205</v>
      </c>
      <c r="N118" s="1" t="str">
        <f t="shared" si="6"/>
        <v/>
      </c>
      <c r="O118" s="31"/>
      <c r="P118" s="34" t="str">
        <f t="shared" si="7"/>
        <v/>
      </c>
      <c r="R118" t="s">
        <v>205</v>
      </c>
      <c r="S118" s="1" t="str">
        <f t="shared" si="9"/>
        <v/>
      </c>
      <c r="T118" s="1"/>
      <c r="U118" s="35" t="str">
        <f t="shared" si="8"/>
        <v/>
      </c>
    </row>
    <row r="119" spans="12:21" x14ac:dyDescent="0.25">
      <c r="L119" s="26">
        <v>116</v>
      </c>
      <c r="M119" t="s">
        <v>204</v>
      </c>
      <c r="N119" s="1" t="str">
        <f t="shared" si="6"/>
        <v/>
      </c>
      <c r="O119" s="31"/>
      <c r="P119" s="34" t="str">
        <f t="shared" si="7"/>
        <v/>
      </c>
      <c r="R119" t="s">
        <v>204</v>
      </c>
      <c r="S119" s="1" t="str">
        <f t="shared" si="9"/>
        <v/>
      </c>
      <c r="T119" s="1"/>
      <c r="U119" s="35" t="str">
        <f t="shared" si="8"/>
        <v/>
      </c>
    </row>
    <row r="120" spans="12:21" x14ac:dyDescent="0.25">
      <c r="L120" s="26">
        <v>117</v>
      </c>
      <c r="M120" t="s">
        <v>203</v>
      </c>
      <c r="N120" s="1" t="str">
        <f t="shared" si="6"/>
        <v/>
      </c>
      <c r="O120" s="31"/>
      <c r="P120" s="34" t="str">
        <f t="shared" si="7"/>
        <v/>
      </c>
      <c r="R120" t="s">
        <v>203</v>
      </c>
      <c r="S120" s="1" t="str">
        <f t="shared" si="9"/>
        <v/>
      </c>
      <c r="T120" s="1"/>
      <c r="U120" s="35" t="str">
        <f t="shared" si="8"/>
        <v/>
      </c>
    </row>
    <row r="121" spans="12:21" x14ac:dyDescent="0.25">
      <c r="L121" s="26">
        <v>118</v>
      </c>
      <c r="M121" t="s">
        <v>202</v>
      </c>
      <c r="N121" s="1" t="str">
        <f t="shared" si="6"/>
        <v/>
      </c>
      <c r="O121" s="31"/>
      <c r="P121" s="34" t="str">
        <f t="shared" si="7"/>
        <v/>
      </c>
      <c r="R121" t="s">
        <v>202</v>
      </c>
      <c r="S121" s="1" t="str">
        <f t="shared" si="9"/>
        <v/>
      </c>
      <c r="T121" s="1"/>
      <c r="U121" s="35" t="str">
        <f t="shared" si="8"/>
        <v/>
      </c>
    </row>
    <row r="122" spans="12:21" x14ac:dyDescent="0.25">
      <c r="L122" s="26">
        <v>119</v>
      </c>
      <c r="M122" t="s">
        <v>201</v>
      </c>
      <c r="N122" s="1" t="str">
        <f t="shared" si="6"/>
        <v/>
      </c>
      <c r="O122" s="31"/>
      <c r="P122" s="34" t="str">
        <f t="shared" si="7"/>
        <v/>
      </c>
      <c r="R122" t="s">
        <v>201</v>
      </c>
      <c r="S122" s="1" t="str">
        <f t="shared" si="9"/>
        <v/>
      </c>
      <c r="T122" s="1"/>
      <c r="U122" s="35" t="str">
        <f t="shared" si="8"/>
        <v/>
      </c>
    </row>
    <row r="123" spans="12:21" x14ac:dyDescent="0.25">
      <c r="L123" s="26">
        <v>120</v>
      </c>
      <c r="M123" t="s">
        <v>200</v>
      </c>
      <c r="N123" s="1" t="str">
        <f t="shared" si="6"/>
        <v/>
      </c>
      <c r="O123" s="31"/>
      <c r="P123" s="34" t="str">
        <f t="shared" si="7"/>
        <v/>
      </c>
      <c r="R123" t="s">
        <v>200</v>
      </c>
      <c r="S123" s="1" t="str">
        <f t="shared" si="9"/>
        <v/>
      </c>
      <c r="T123" s="1"/>
      <c r="U123" s="35" t="str">
        <f t="shared" si="8"/>
        <v/>
      </c>
    </row>
    <row r="124" spans="12:21" x14ac:dyDescent="0.25">
      <c r="L124" s="26">
        <v>121</v>
      </c>
      <c r="M124" t="s">
        <v>199</v>
      </c>
      <c r="N124" s="1" t="str">
        <f t="shared" si="6"/>
        <v/>
      </c>
      <c r="O124" s="31"/>
      <c r="P124" s="34" t="str">
        <f t="shared" si="7"/>
        <v/>
      </c>
      <c r="R124" t="s">
        <v>199</v>
      </c>
      <c r="S124" s="1" t="str">
        <f t="shared" si="9"/>
        <v/>
      </c>
      <c r="T124" s="1"/>
      <c r="U124" s="35" t="str">
        <f t="shared" si="8"/>
        <v/>
      </c>
    </row>
    <row r="125" spans="12:21" x14ac:dyDescent="0.25">
      <c r="L125" s="26">
        <v>122</v>
      </c>
      <c r="M125" t="s">
        <v>198</v>
      </c>
      <c r="N125" s="1" t="str">
        <f t="shared" si="6"/>
        <v/>
      </c>
      <c r="O125" s="31"/>
      <c r="P125" s="34" t="str">
        <f t="shared" si="7"/>
        <v/>
      </c>
      <c r="R125" t="s">
        <v>198</v>
      </c>
      <c r="S125" s="1" t="str">
        <f t="shared" si="9"/>
        <v/>
      </c>
      <c r="T125" s="1"/>
      <c r="U125" s="35" t="str">
        <f t="shared" si="8"/>
        <v/>
      </c>
    </row>
    <row r="126" spans="12:21" x14ac:dyDescent="0.25">
      <c r="L126" s="26">
        <v>123</v>
      </c>
      <c r="M126" t="s">
        <v>197</v>
      </c>
      <c r="N126" s="1" t="str">
        <f t="shared" si="6"/>
        <v/>
      </c>
      <c r="O126" s="31"/>
      <c r="P126" s="34" t="str">
        <f t="shared" si="7"/>
        <v/>
      </c>
      <c r="R126" t="s">
        <v>197</v>
      </c>
      <c r="S126" s="1" t="str">
        <f t="shared" si="9"/>
        <v/>
      </c>
      <c r="T126" s="1"/>
      <c r="U126" s="35" t="str">
        <f t="shared" si="8"/>
        <v/>
      </c>
    </row>
    <row r="127" spans="12:21" x14ac:dyDescent="0.25">
      <c r="L127" s="26">
        <v>124</v>
      </c>
      <c r="M127" t="s">
        <v>196</v>
      </c>
      <c r="N127" s="1" t="str">
        <f t="shared" si="6"/>
        <v/>
      </c>
      <c r="O127" s="31"/>
      <c r="P127" s="34" t="str">
        <f t="shared" si="7"/>
        <v/>
      </c>
      <c r="R127" t="s">
        <v>196</v>
      </c>
      <c r="S127" s="1" t="str">
        <f t="shared" si="9"/>
        <v/>
      </c>
      <c r="T127" s="1"/>
      <c r="U127" s="35" t="str">
        <f t="shared" si="8"/>
        <v/>
      </c>
    </row>
    <row r="128" spans="12:21" x14ac:dyDescent="0.25">
      <c r="L128" s="26">
        <v>125</v>
      </c>
      <c r="M128" t="s">
        <v>195</v>
      </c>
      <c r="N128" s="1" t="str">
        <f t="shared" si="6"/>
        <v/>
      </c>
      <c r="O128" s="31"/>
      <c r="P128" s="34" t="str">
        <f t="shared" si="7"/>
        <v/>
      </c>
      <c r="R128" t="s">
        <v>195</v>
      </c>
      <c r="S128" s="1" t="str">
        <f t="shared" si="9"/>
        <v/>
      </c>
      <c r="T128" s="1"/>
      <c r="U128" s="35" t="str">
        <f t="shared" si="8"/>
        <v/>
      </c>
    </row>
    <row r="129" spans="12:21" x14ac:dyDescent="0.25">
      <c r="L129" s="26">
        <v>126</v>
      </c>
      <c r="M129" t="s">
        <v>194</v>
      </c>
      <c r="N129" s="1" t="str">
        <f t="shared" si="6"/>
        <v/>
      </c>
      <c r="O129" s="31"/>
      <c r="P129" s="34" t="str">
        <f t="shared" si="7"/>
        <v/>
      </c>
      <c r="R129" t="s">
        <v>194</v>
      </c>
      <c r="S129" s="1" t="str">
        <f t="shared" si="9"/>
        <v/>
      </c>
      <c r="T129" s="1"/>
      <c r="U129" s="35" t="str">
        <f t="shared" si="8"/>
        <v/>
      </c>
    </row>
    <row r="130" spans="12:21" x14ac:dyDescent="0.25">
      <c r="L130" s="26">
        <v>127</v>
      </c>
      <c r="M130" t="s">
        <v>193</v>
      </c>
      <c r="N130" s="1" t="str">
        <f t="shared" si="6"/>
        <v/>
      </c>
      <c r="O130" s="31"/>
      <c r="P130" s="34" t="str">
        <f t="shared" si="7"/>
        <v/>
      </c>
      <c r="R130" t="s">
        <v>193</v>
      </c>
      <c r="S130" s="1" t="str">
        <f t="shared" si="9"/>
        <v/>
      </c>
      <c r="T130" s="1"/>
      <c r="U130" s="35" t="str">
        <f t="shared" si="8"/>
        <v/>
      </c>
    </row>
    <row r="131" spans="12:21" x14ac:dyDescent="0.25">
      <c r="L131" s="26">
        <v>128</v>
      </c>
      <c r="M131" t="s">
        <v>192</v>
      </c>
      <c r="N131" s="1" t="str">
        <f t="shared" si="6"/>
        <v/>
      </c>
      <c r="O131" s="31"/>
      <c r="P131" s="34" t="str">
        <f t="shared" si="7"/>
        <v/>
      </c>
      <c r="R131" t="s">
        <v>192</v>
      </c>
      <c r="S131" s="1" t="str">
        <f t="shared" si="9"/>
        <v/>
      </c>
      <c r="T131" s="1"/>
      <c r="U131" s="35" t="str">
        <f t="shared" si="8"/>
        <v/>
      </c>
    </row>
    <row r="132" spans="12:21" x14ac:dyDescent="0.25">
      <c r="L132" s="26">
        <v>129</v>
      </c>
      <c r="M132" t="s">
        <v>191</v>
      </c>
      <c r="N132" s="1" t="str">
        <f t="shared" si="6"/>
        <v/>
      </c>
      <c r="O132" s="31"/>
      <c r="P132" s="34" t="str">
        <f t="shared" si="7"/>
        <v/>
      </c>
      <c r="R132" t="s">
        <v>191</v>
      </c>
      <c r="S132" s="1" t="str">
        <f t="shared" si="9"/>
        <v/>
      </c>
      <c r="T132" s="1"/>
      <c r="U132" s="35" t="str">
        <f t="shared" si="8"/>
        <v/>
      </c>
    </row>
    <row r="133" spans="12:21" x14ac:dyDescent="0.25">
      <c r="L133" s="26">
        <v>130</v>
      </c>
      <c r="M133" t="s">
        <v>190</v>
      </c>
      <c r="N133" s="1" t="str">
        <f t="shared" ref="N133:N196" si="10">IF(L133&gt;$I$2,"",F133/$D$3-1)</f>
        <v/>
      </c>
      <c r="O133" s="31"/>
      <c r="P133" s="34" t="str">
        <f t="shared" ref="P133:P196" si="11">IF(AND(L133&lt;=$I$2,N133&lt;= -0.1),1,"")</f>
        <v/>
      </c>
      <c r="R133" t="s">
        <v>190</v>
      </c>
      <c r="S133" s="1" t="str">
        <f t="shared" si="9"/>
        <v/>
      </c>
      <c r="T133" s="1"/>
      <c r="U133" s="35" t="str">
        <f t="shared" ref="U133:U196" si="12">IF(AND(L133&lt;=$I$2,S133&gt;=0.2),1,"")</f>
        <v/>
      </c>
    </row>
    <row r="134" spans="12:21" x14ac:dyDescent="0.25">
      <c r="L134" s="26">
        <v>131</v>
      </c>
      <c r="M134" t="s">
        <v>189</v>
      </c>
      <c r="N134" s="1" t="str">
        <f t="shared" si="10"/>
        <v/>
      </c>
      <c r="O134" s="31"/>
      <c r="P134" s="34" t="str">
        <f t="shared" si="11"/>
        <v/>
      </c>
      <c r="R134" t="s">
        <v>189</v>
      </c>
      <c r="S134" s="1" t="str">
        <f t="shared" si="9"/>
        <v/>
      </c>
      <c r="T134" s="1"/>
      <c r="U134" s="35" t="str">
        <f t="shared" si="12"/>
        <v/>
      </c>
    </row>
    <row r="135" spans="12:21" x14ac:dyDescent="0.25">
      <c r="L135" s="26">
        <v>132</v>
      </c>
      <c r="M135" t="s">
        <v>188</v>
      </c>
      <c r="N135" s="1" t="str">
        <f t="shared" si="10"/>
        <v/>
      </c>
      <c r="O135" s="31"/>
      <c r="P135" s="34" t="str">
        <f t="shared" si="11"/>
        <v/>
      </c>
      <c r="R135" t="s">
        <v>188</v>
      </c>
      <c r="S135" s="1" t="str">
        <f t="shared" si="9"/>
        <v/>
      </c>
      <c r="T135" s="1"/>
      <c r="U135" s="35" t="str">
        <f t="shared" si="12"/>
        <v/>
      </c>
    </row>
    <row r="136" spans="12:21" x14ac:dyDescent="0.25">
      <c r="L136" s="26">
        <v>133</v>
      </c>
      <c r="M136" t="s">
        <v>187</v>
      </c>
      <c r="N136" s="1" t="str">
        <f t="shared" si="10"/>
        <v/>
      </c>
      <c r="O136" s="31"/>
      <c r="P136" s="34" t="str">
        <f t="shared" si="11"/>
        <v/>
      </c>
      <c r="R136" t="s">
        <v>187</v>
      </c>
      <c r="S136" s="1" t="str">
        <f t="shared" si="9"/>
        <v/>
      </c>
      <c r="T136" s="1"/>
      <c r="U136" s="35" t="str">
        <f t="shared" si="12"/>
        <v/>
      </c>
    </row>
    <row r="137" spans="12:21" x14ac:dyDescent="0.25">
      <c r="L137" s="26">
        <v>134</v>
      </c>
      <c r="M137" t="s">
        <v>186</v>
      </c>
      <c r="N137" s="1" t="str">
        <f t="shared" si="10"/>
        <v/>
      </c>
      <c r="O137" s="31"/>
      <c r="P137" s="34" t="str">
        <f t="shared" si="11"/>
        <v/>
      </c>
      <c r="R137" t="s">
        <v>186</v>
      </c>
      <c r="S137" s="1" t="str">
        <f t="shared" si="9"/>
        <v/>
      </c>
      <c r="T137" s="1"/>
      <c r="U137" s="35" t="str">
        <f t="shared" si="12"/>
        <v/>
      </c>
    </row>
    <row r="138" spans="12:21" x14ac:dyDescent="0.25">
      <c r="L138" s="26">
        <v>135</v>
      </c>
      <c r="M138" t="s">
        <v>185</v>
      </c>
      <c r="N138" s="1" t="str">
        <f t="shared" si="10"/>
        <v/>
      </c>
      <c r="O138" s="31"/>
      <c r="P138" s="34" t="str">
        <f t="shared" si="11"/>
        <v/>
      </c>
      <c r="R138" t="s">
        <v>185</v>
      </c>
      <c r="S138" s="1" t="str">
        <f t="shared" si="9"/>
        <v/>
      </c>
      <c r="T138" s="1"/>
      <c r="U138" s="35" t="str">
        <f t="shared" si="12"/>
        <v/>
      </c>
    </row>
    <row r="139" spans="12:21" x14ac:dyDescent="0.25">
      <c r="L139" s="26">
        <v>136</v>
      </c>
      <c r="M139" t="s">
        <v>184</v>
      </c>
      <c r="N139" s="1" t="str">
        <f t="shared" si="10"/>
        <v/>
      </c>
      <c r="O139" s="31"/>
      <c r="P139" s="34" t="str">
        <f t="shared" si="11"/>
        <v/>
      </c>
      <c r="R139" t="s">
        <v>184</v>
      </c>
      <c r="S139" s="1" t="str">
        <f t="shared" si="9"/>
        <v/>
      </c>
      <c r="T139" s="1"/>
      <c r="U139" s="35" t="str">
        <f t="shared" si="12"/>
        <v/>
      </c>
    </row>
    <row r="140" spans="12:21" x14ac:dyDescent="0.25">
      <c r="L140" s="26">
        <v>137</v>
      </c>
      <c r="M140" t="s">
        <v>183</v>
      </c>
      <c r="N140" s="1" t="str">
        <f t="shared" si="10"/>
        <v/>
      </c>
      <c r="O140" s="31"/>
      <c r="P140" s="34" t="str">
        <f t="shared" si="11"/>
        <v/>
      </c>
      <c r="R140" t="s">
        <v>183</v>
      </c>
      <c r="S140" s="1" t="str">
        <f t="shared" si="9"/>
        <v/>
      </c>
      <c r="T140" s="1"/>
      <c r="U140" s="35" t="str">
        <f t="shared" si="12"/>
        <v/>
      </c>
    </row>
    <row r="141" spans="12:21" x14ac:dyDescent="0.25">
      <c r="L141" s="26">
        <v>138</v>
      </c>
      <c r="M141" t="s">
        <v>182</v>
      </c>
      <c r="N141" s="1" t="str">
        <f t="shared" si="10"/>
        <v/>
      </c>
      <c r="O141" s="31"/>
      <c r="P141" s="34" t="str">
        <f t="shared" si="11"/>
        <v/>
      </c>
      <c r="R141" t="s">
        <v>182</v>
      </c>
      <c r="S141" s="1" t="str">
        <f t="shared" si="9"/>
        <v/>
      </c>
      <c r="T141" s="1"/>
      <c r="U141" s="35" t="str">
        <f t="shared" si="12"/>
        <v/>
      </c>
    </row>
    <row r="142" spans="12:21" x14ac:dyDescent="0.25">
      <c r="L142" s="26">
        <v>139</v>
      </c>
      <c r="M142" t="s">
        <v>181</v>
      </c>
      <c r="N142" s="1" t="str">
        <f t="shared" si="10"/>
        <v/>
      </c>
      <c r="O142" s="31"/>
      <c r="P142" s="34" t="str">
        <f t="shared" si="11"/>
        <v/>
      </c>
      <c r="R142" t="s">
        <v>181</v>
      </c>
      <c r="S142" s="1" t="str">
        <f t="shared" si="9"/>
        <v/>
      </c>
      <c r="T142" s="1"/>
      <c r="U142" s="35" t="str">
        <f t="shared" si="12"/>
        <v/>
      </c>
    </row>
    <row r="143" spans="12:21" x14ac:dyDescent="0.25">
      <c r="L143" s="26">
        <v>140</v>
      </c>
      <c r="M143" t="s">
        <v>180</v>
      </c>
      <c r="N143" s="1" t="str">
        <f t="shared" si="10"/>
        <v/>
      </c>
      <c r="O143" s="31"/>
      <c r="P143" s="34" t="str">
        <f t="shared" si="11"/>
        <v/>
      </c>
      <c r="R143" t="s">
        <v>180</v>
      </c>
      <c r="S143" s="1" t="str">
        <f t="shared" si="9"/>
        <v/>
      </c>
      <c r="T143" s="1"/>
      <c r="U143" s="35" t="str">
        <f t="shared" si="12"/>
        <v/>
      </c>
    </row>
    <row r="144" spans="12:21" x14ac:dyDescent="0.25">
      <c r="L144" s="26">
        <v>141</v>
      </c>
      <c r="M144" t="s">
        <v>179</v>
      </c>
      <c r="N144" s="1" t="str">
        <f t="shared" si="10"/>
        <v/>
      </c>
      <c r="O144" s="31"/>
      <c r="P144" s="34" t="str">
        <f t="shared" si="11"/>
        <v/>
      </c>
      <c r="R144" t="s">
        <v>179</v>
      </c>
      <c r="S144" s="1" t="str">
        <f t="shared" si="9"/>
        <v/>
      </c>
      <c r="T144" s="1"/>
      <c r="U144" s="35" t="str">
        <f t="shared" si="12"/>
        <v/>
      </c>
    </row>
    <row r="145" spans="12:21" x14ac:dyDescent="0.25">
      <c r="L145" s="26">
        <v>142</v>
      </c>
      <c r="M145" t="s">
        <v>178</v>
      </c>
      <c r="N145" s="1" t="str">
        <f t="shared" si="10"/>
        <v/>
      </c>
      <c r="O145" s="31"/>
      <c r="P145" s="34" t="str">
        <f t="shared" si="11"/>
        <v/>
      </c>
      <c r="R145" t="s">
        <v>178</v>
      </c>
      <c r="S145" s="1" t="str">
        <f t="shared" si="9"/>
        <v/>
      </c>
      <c r="T145" s="1"/>
      <c r="U145" s="35" t="str">
        <f t="shared" si="12"/>
        <v/>
      </c>
    </row>
    <row r="146" spans="12:21" x14ac:dyDescent="0.25">
      <c r="L146" s="26">
        <v>143</v>
      </c>
      <c r="M146" t="s">
        <v>177</v>
      </c>
      <c r="N146" s="1" t="str">
        <f t="shared" si="10"/>
        <v/>
      </c>
      <c r="O146" s="31"/>
      <c r="P146" s="34" t="str">
        <f t="shared" si="11"/>
        <v/>
      </c>
      <c r="R146" t="s">
        <v>177</v>
      </c>
      <c r="S146" s="1" t="str">
        <f t="shared" si="9"/>
        <v/>
      </c>
      <c r="T146" s="1"/>
      <c r="U146" s="35" t="str">
        <f t="shared" si="12"/>
        <v/>
      </c>
    </row>
    <row r="147" spans="12:21" x14ac:dyDescent="0.25">
      <c r="L147" s="26">
        <v>144</v>
      </c>
      <c r="M147" t="s">
        <v>176</v>
      </c>
      <c r="N147" s="1" t="str">
        <f t="shared" si="10"/>
        <v/>
      </c>
      <c r="O147" s="31"/>
      <c r="P147" s="34" t="str">
        <f t="shared" si="11"/>
        <v/>
      </c>
      <c r="R147" t="s">
        <v>176</v>
      </c>
      <c r="S147" s="1" t="str">
        <f t="shared" si="9"/>
        <v/>
      </c>
      <c r="T147" s="1"/>
      <c r="U147" s="35" t="str">
        <f t="shared" si="12"/>
        <v/>
      </c>
    </row>
    <row r="148" spans="12:21" x14ac:dyDescent="0.25">
      <c r="L148" s="26">
        <v>145</v>
      </c>
      <c r="M148" t="s">
        <v>175</v>
      </c>
      <c r="N148" s="1" t="str">
        <f t="shared" si="10"/>
        <v/>
      </c>
      <c r="O148" s="31"/>
      <c r="P148" s="34" t="str">
        <f t="shared" si="11"/>
        <v/>
      </c>
      <c r="R148" t="s">
        <v>175</v>
      </c>
      <c r="S148" s="1" t="str">
        <f t="shared" si="9"/>
        <v/>
      </c>
      <c r="T148" s="1"/>
      <c r="U148" s="35" t="str">
        <f t="shared" si="12"/>
        <v/>
      </c>
    </row>
    <row r="149" spans="12:21" x14ac:dyDescent="0.25">
      <c r="L149" s="26">
        <v>146</v>
      </c>
      <c r="M149" t="s">
        <v>174</v>
      </c>
      <c r="N149" s="1" t="str">
        <f t="shared" si="10"/>
        <v/>
      </c>
      <c r="O149" s="31"/>
      <c r="P149" s="34" t="str">
        <f t="shared" si="11"/>
        <v/>
      </c>
      <c r="R149" t="s">
        <v>174</v>
      </c>
      <c r="S149" s="1" t="str">
        <f t="shared" si="9"/>
        <v/>
      </c>
      <c r="T149" s="1"/>
      <c r="U149" s="35" t="str">
        <f t="shared" si="12"/>
        <v/>
      </c>
    </row>
    <row r="150" spans="12:21" x14ac:dyDescent="0.25">
      <c r="L150" s="26">
        <v>147</v>
      </c>
      <c r="M150" t="s">
        <v>173</v>
      </c>
      <c r="N150" s="1" t="str">
        <f t="shared" si="10"/>
        <v/>
      </c>
      <c r="O150" s="31"/>
      <c r="P150" s="34" t="str">
        <f t="shared" si="11"/>
        <v/>
      </c>
      <c r="R150" t="s">
        <v>173</v>
      </c>
      <c r="S150" s="1" t="str">
        <f t="shared" si="9"/>
        <v/>
      </c>
      <c r="T150" s="1"/>
      <c r="U150" s="35" t="str">
        <f t="shared" si="12"/>
        <v/>
      </c>
    </row>
    <row r="151" spans="12:21" x14ac:dyDescent="0.25">
      <c r="L151" s="26">
        <v>148</v>
      </c>
      <c r="M151" t="s">
        <v>172</v>
      </c>
      <c r="N151" s="1" t="str">
        <f t="shared" si="10"/>
        <v/>
      </c>
      <c r="O151" s="31"/>
      <c r="P151" s="34" t="str">
        <f t="shared" si="11"/>
        <v/>
      </c>
      <c r="R151" t="s">
        <v>172</v>
      </c>
      <c r="S151" s="1" t="str">
        <f t="shared" si="9"/>
        <v/>
      </c>
      <c r="T151" s="1"/>
      <c r="U151" s="35" t="str">
        <f t="shared" si="12"/>
        <v/>
      </c>
    </row>
    <row r="152" spans="12:21" x14ac:dyDescent="0.25">
      <c r="L152" s="26">
        <v>149</v>
      </c>
      <c r="M152" t="s">
        <v>171</v>
      </c>
      <c r="N152" s="1" t="str">
        <f t="shared" si="10"/>
        <v/>
      </c>
      <c r="O152" s="31"/>
      <c r="P152" s="34" t="str">
        <f t="shared" si="11"/>
        <v/>
      </c>
      <c r="R152" t="s">
        <v>171</v>
      </c>
      <c r="S152" s="1" t="str">
        <f t="shared" ref="S152:S215" si="13">IF(L152&gt;$I$2,"",E152/$D$3-1)</f>
        <v/>
      </c>
      <c r="T152" s="1"/>
      <c r="U152" s="35" t="str">
        <f t="shared" si="12"/>
        <v/>
      </c>
    </row>
    <row r="153" spans="12:21" x14ac:dyDescent="0.25">
      <c r="L153" s="26">
        <v>150</v>
      </c>
      <c r="M153" t="s">
        <v>170</v>
      </c>
      <c r="N153" s="1" t="str">
        <f t="shared" si="10"/>
        <v/>
      </c>
      <c r="O153" s="31"/>
      <c r="P153" s="34" t="str">
        <f t="shared" si="11"/>
        <v/>
      </c>
      <c r="R153" t="s">
        <v>170</v>
      </c>
      <c r="S153" s="1" t="str">
        <f t="shared" si="13"/>
        <v/>
      </c>
      <c r="T153" s="1"/>
      <c r="U153" s="35" t="str">
        <f t="shared" si="12"/>
        <v/>
      </c>
    </row>
    <row r="154" spans="12:21" x14ac:dyDescent="0.25">
      <c r="L154" s="26">
        <v>151</v>
      </c>
      <c r="M154" t="s">
        <v>169</v>
      </c>
      <c r="N154" s="1" t="str">
        <f t="shared" si="10"/>
        <v/>
      </c>
      <c r="O154" s="31"/>
      <c r="P154" s="34" t="str">
        <f t="shared" si="11"/>
        <v/>
      </c>
      <c r="R154" t="s">
        <v>169</v>
      </c>
      <c r="S154" s="1" t="str">
        <f t="shared" si="13"/>
        <v/>
      </c>
      <c r="T154" s="1"/>
      <c r="U154" s="35" t="str">
        <f t="shared" si="12"/>
        <v/>
      </c>
    </row>
    <row r="155" spans="12:21" x14ac:dyDescent="0.25">
      <c r="L155" s="26">
        <v>152</v>
      </c>
      <c r="M155" t="s">
        <v>168</v>
      </c>
      <c r="N155" s="1" t="str">
        <f t="shared" si="10"/>
        <v/>
      </c>
      <c r="O155" s="31"/>
      <c r="P155" s="34" t="str">
        <f t="shared" si="11"/>
        <v/>
      </c>
      <c r="R155" t="s">
        <v>168</v>
      </c>
      <c r="S155" s="1" t="str">
        <f t="shared" si="13"/>
        <v/>
      </c>
      <c r="T155" s="1"/>
      <c r="U155" s="35" t="str">
        <f t="shared" si="12"/>
        <v/>
      </c>
    </row>
    <row r="156" spans="12:21" x14ac:dyDescent="0.25">
      <c r="L156" s="26">
        <v>153</v>
      </c>
      <c r="M156" t="s">
        <v>167</v>
      </c>
      <c r="N156" s="1" t="str">
        <f t="shared" si="10"/>
        <v/>
      </c>
      <c r="O156" s="31"/>
      <c r="P156" s="34" t="str">
        <f t="shared" si="11"/>
        <v/>
      </c>
      <c r="R156" t="s">
        <v>167</v>
      </c>
      <c r="S156" s="1" t="str">
        <f t="shared" si="13"/>
        <v/>
      </c>
      <c r="T156" s="1"/>
      <c r="U156" s="35" t="str">
        <f t="shared" si="12"/>
        <v/>
      </c>
    </row>
    <row r="157" spans="12:21" x14ac:dyDescent="0.25">
      <c r="L157" s="26">
        <v>154</v>
      </c>
      <c r="M157" t="s">
        <v>166</v>
      </c>
      <c r="N157" s="1" t="str">
        <f t="shared" si="10"/>
        <v/>
      </c>
      <c r="O157" s="31"/>
      <c r="P157" s="34" t="str">
        <f t="shared" si="11"/>
        <v/>
      </c>
      <c r="R157" t="s">
        <v>166</v>
      </c>
      <c r="S157" s="1" t="str">
        <f t="shared" si="13"/>
        <v/>
      </c>
      <c r="T157" s="1"/>
      <c r="U157" s="35" t="str">
        <f t="shared" si="12"/>
        <v/>
      </c>
    </row>
    <row r="158" spans="12:21" x14ac:dyDescent="0.25">
      <c r="L158" s="26">
        <v>155</v>
      </c>
      <c r="M158" t="s">
        <v>165</v>
      </c>
      <c r="N158" s="1" t="str">
        <f t="shared" si="10"/>
        <v/>
      </c>
      <c r="O158" s="31"/>
      <c r="P158" s="34" t="str">
        <f t="shared" si="11"/>
        <v/>
      </c>
      <c r="R158" t="s">
        <v>165</v>
      </c>
      <c r="S158" s="1" t="str">
        <f t="shared" si="13"/>
        <v/>
      </c>
      <c r="T158" s="1"/>
      <c r="U158" s="35" t="str">
        <f t="shared" si="12"/>
        <v/>
      </c>
    </row>
    <row r="159" spans="12:21" x14ac:dyDescent="0.25">
      <c r="L159" s="26">
        <v>156</v>
      </c>
      <c r="M159" t="s">
        <v>164</v>
      </c>
      <c r="N159" s="1" t="str">
        <f t="shared" si="10"/>
        <v/>
      </c>
      <c r="O159" s="31"/>
      <c r="P159" s="34" t="str">
        <f t="shared" si="11"/>
        <v/>
      </c>
      <c r="R159" t="s">
        <v>164</v>
      </c>
      <c r="S159" s="1" t="str">
        <f t="shared" si="13"/>
        <v/>
      </c>
      <c r="T159" s="1"/>
      <c r="U159" s="35" t="str">
        <f t="shared" si="12"/>
        <v/>
      </c>
    </row>
    <row r="160" spans="12:21" x14ac:dyDescent="0.25">
      <c r="L160" s="26">
        <v>157</v>
      </c>
      <c r="M160" t="s">
        <v>163</v>
      </c>
      <c r="N160" s="1" t="str">
        <f t="shared" si="10"/>
        <v/>
      </c>
      <c r="O160" s="31"/>
      <c r="P160" s="34" t="str">
        <f t="shared" si="11"/>
        <v/>
      </c>
      <c r="R160" t="s">
        <v>163</v>
      </c>
      <c r="S160" s="1" t="str">
        <f t="shared" si="13"/>
        <v/>
      </c>
      <c r="T160" s="1"/>
      <c r="U160" s="35" t="str">
        <f t="shared" si="12"/>
        <v/>
      </c>
    </row>
    <row r="161" spans="12:21" x14ac:dyDescent="0.25">
      <c r="L161" s="26">
        <v>158</v>
      </c>
      <c r="M161" t="s">
        <v>162</v>
      </c>
      <c r="N161" s="1" t="str">
        <f t="shared" si="10"/>
        <v/>
      </c>
      <c r="O161" s="31"/>
      <c r="P161" s="34" t="str">
        <f t="shared" si="11"/>
        <v/>
      </c>
      <c r="R161" t="s">
        <v>162</v>
      </c>
      <c r="S161" s="1" t="str">
        <f t="shared" si="13"/>
        <v/>
      </c>
      <c r="T161" s="1"/>
      <c r="U161" s="35" t="str">
        <f t="shared" si="12"/>
        <v/>
      </c>
    </row>
    <row r="162" spans="12:21" x14ac:dyDescent="0.25">
      <c r="L162" s="26">
        <v>159</v>
      </c>
      <c r="M162" t="s">
        <v>161</v>
      </c>
      <c r="N162" s="1" t="str">
        <f t="shared" si="10"/>
        <v/>
      </c>
      <c r="O162" s="31"/>
      <c r="P162" s="34" t="str">
        <f t="shared" si="11"/>
        <v/>
      </c>
      <c r="R162" t="s">
        <v>161</v>
      </c>
      <c r="S162" s="1" t="str">
        <f t="shared" si="13"/>
        <v/>
      </c>
      <c r="T162" s="1"/>
      <c r="U162" s="35" t="str">
        <f t="shared" si="12"/>
        <v/>
      </c>
    </row>
    <row r="163" spans="12:21" x14ac:dyDescent="0.25">
      <c r="L163" s="26">
        <v>160</v>
      </c>
      <c r="M163" t="s">
        <v>160</v>
      </c>
      <c r="N163" s="1" t="str">
        <f t="shared" si="10"/>
        <v/>
      </c>
      <c r="O163" s="31"/>
      <c r="P163" s="34" t="str">
        <f t="shared" si="11"/>
        <v/>
      </c>
      <c r="R163" t="s">
        <v>160</v>
      </c>
      <c r="S163" s="1" t="str">
        <f t="shared" si="13"/>
        <v/>
      </c>
      <c r="T163" s="1"/>
      <c r="U163" s="35" t="str">
        <f t="shared" si="12"/>
        <v/>
      </c>
    </row>
    <row r="164" spans="12:21" x14ac:dyDescent="0.25">
      <c r="L164" s="26">
        <v>161</v>
      </c>
      <c r="M164" t="s">
        <v>159</v>
      </c>
      <c r="N164" s="1" t="str">
        <f t="shared" si="10"/>
        <v/>
      </c>
      <c r="O164" s="31"/>
      <c r="P164" s="34" t="str">
        <f t="shared" si="11"/>
        <v/>
      </c>
      <c r="R164" t="s">
        <v>159</v>
      </c>
      <c r="S164" s="1" t="str">
        <f t="shared" si="13"/>
        <v/>
      </c>
      <c r="T164" s="1"/>
      <c r="U164" s="35" t="str">
        <f t="shared" si="12"/>
        <v/>
      </c>
    </row>
    <row r="165" spans="12:21" x14ac:dyDescent="0.25">
      <c r="L165" s="26">
        <v>162</v>
      </c>
      <c r="M165" t="s">
        <v>158</v>
      </c>
      <c r="N165" s="1" t="str">
        <f t="shared" si="10"/>
        <v/>
      </c>
      <c r="O165" s="31"/>
      <c r="P165" s="34" t="str">
        <f t="shared" si="11"/>
        <v/>
      </c>
      <c r="R165" t="s">
        <v>158</v>
      </c>
      <c r="S165" s="1" t="str">
        <f t="shared" si="13"/>
        <v/>
      </c>
      <c r="T165" s="1"/>
      <c r="U165" s="35" t="str">
        <f t="shared" si="12"/>
        <v/>
      </c>
    </row>
    <row r="166" spans="12:21" x14ac:dyDescent="0.25">
      <c r="L166" s="26">
        <v>163</v>
      </c>
      <c r="M166" t="s">
        <v>157</v>
      </c>
      <c r="N166" s="1" t="str">
        <f t="shared" si="10"/>
        <v/>
      </c>
      <c r="O166" s="31"/>
      <c r="P166" s="34" t="str">
        <f t="shared" si="11"/>
        <v/>
      </c>
      <c r="R166" t="s">
        <v>157</v>
      </c>
      <c r="S166" s="1" t="str">
        <f t="shared" si="13"/>
        <v/>
      </c>
      <c r="T166" s="1"/>
      <c r="U166" s="35" t="str">
        <f t="shared" si="12"/>
        <v/>
      </c>
    </row>
    <row r="167" spans="12:21" x14ac:dyDescent="0.25">
      <c r="L167" s="26">
        <v>164</v>
      </c>
      <c r="M167" t="s">
        <v>156</v>
      </c>
      <c r="N167" s="1" t="str">
        <f t="shared" si="10"/>
        <v/>
      </c>
      <c r="O167" s="31"/>
      <c r="P167" s="34" t="str">
        <f t="shared" si="11"/>
        <v/>
      </c>
      <c r="R167" t="s">
        <v>156</v>
      </c>
      <c r="S167" s="1" t="str">
        <f t="shared" si="13"/>
        <v/>
      </c>
      <c r="T167" s="1"/>
      <c r="U167" s="35" t="str">
        <f t="shared" si="12"/>
        <v/>
      </c>
    </row>
    <row r="168" spans="12:21" x14ac:dyDescent="0.25">
      <c r="L168" s="26">
        <v>165</v>
      </c>
      <c r="M168" t="s">
        <v>155</v>
      </c>
      <c r="N168" s="1" t="str">
        <f t="shared" si="10"/>
        <v/>
      </c>
      <c r="O168" s="31"/>
      <c r="P168" s="34" t="str">
        <f t="shared" si="11"/>
        <v/>
      </c>
      <c r="R168" t="s">
        <v>155</v>
      </c>
      <c r="S168" s="1" t="str">
        <f t="shared" si="13"/>
        <v/>
      </c>
      <c r="T168" s="1"/>
      <c r="U168" s="35" t="str">
        <f t="shared" si="12"/>
        <v/>
      </c>
    </row>
    <row r="169" spans="12:21" x14ac:dyDescent="0.25">
      <c r="L169" s="26">
        <v>166</v>
      </c>
      <c r="M169" t="s">
        <v>154</v>
      </c>
      <c r="N169" s="1" t="str">
        <f t="shared" si="10"/>
        <v/>
      </c>
      <c r="O169" s="31"/>
      <c r="P169" s="34" t="str">
        <f t="shared" si="11"/>
        <v/>
      </c>
      <c r="R169" t="s">
        <v>154</v>
      </c>
      <c r="S169" s="1" t="str">
        <f t="shared" si="13"/>
        <v/>
      </c>
      <c r="T169" s="1"/>
      <c r="U169" s="35" t="str">
        <f t="shared" si="12"/>
        <v/>
      </c>
    </row>
    <row r="170" spans="12:21" x14ac:dyDescent="0.25">
      <c r="L170" s="26">
        <v>167</v>
      </c>
      <c r="M170" t="s">
        <v>153</v>
      </c>
      <c r="N170" s="1" t="str">
        <f t="shared" si="10"/>
        <v/>
      </c>
      <c r="O170" s="31"/>
      <c r="P170" s="34" t="str">
        <f t="shared" si="11"/>
        <v/>
      </c>
      <c r="R170" t="s">
        <v>153</v>
      </c>
      <c r="S170" s="1" t="str">
        <f t="shared" si="13"/>
        <v/>
      </c>
      <c r="T170" s="1"/>
      <c r="U170" s="35" t="str">
        <f t="shared" si="12"/>
        <v/>
      </c>
    </row>
    <row r="171" spans="12:21" x14ac:dyDescent="0.25">
      <c r="L171" s="26">
        <v>168</v>
      </c>
      <c r="M171" t="s">
        <v>152</v>
      </c>
      <c r="N171" s="1" t="str">
        <f t="shared" si="10"/>
        <v/>
      </c>
      <c r="O171" s="31"/>
      <c r="P171" s="34" t="str">
        <f t="shared" si="11"/>
        <v/>
      </c>
      <c r="R171" t="s">
        <v>152</v>
      </c>
      <c r="S171" s="1" t="str">
        <f t="shared" si="13"/>
        <v/>
      </c>
      <c r="T171" s="1"/>
      <c r="U171" s="35" t="str">
        <f t="shared" si="12"/>
        <v/>
      </c>
    </row>
    <row r="172" spans="12:21" x14ac:dyDescent="0.25">
      <c r="L172" s="26">
        <v>169</v>
      </c>
      <c r="M172" t="s">
        <v>151</v>
      </c>
      <c r="N172" s="1" t="str">
        <f t="shared" si="10"/>
        <v/>
      </c>
      <c r="O172" s="31"/>
      <c r="P172" s="34" t="str">
        <f t="shared" si="11"/>
        <v/>
      </c>
      <c r="R172" t="s">
        <v>151</v>
      </c>
      <c r="S172" s="1" t="str">
        <f t="shared" si="13"/>
        <v/>
      </c>
      <c r="T172" s="1"/>
      <c r="U172" s="35" t="str">
        <f t="shared" si="12"/>
        <v/>
      </c>
    </row>
    <row r="173" spans="12:21" x14ac:dyDescent="0.25">
      <c r="L173" s="26">
        <v>170</v>
      </c>
      <c r="M173" t="s">
        <v>150</v>
      </c>
      <c r="N173" s="1" t="str">
        <f t="shared" si="10"/>
        <v/>
      </c>
      <c r="O173" s="31"/>
      <c r="P173" s="34" t="str">
        <f t="shared" si="11"/>
        <v/>
      </c>
      <c r="R173" t="s">
        <v>150</v>
      </c>
      <c r="S173" s="1" t="str">
        <f t="shared" si="13"/>
        <v/>
      </c>
      <c r="T173" s="1"/>
      <c r="U173" s="35" t="str">
        <f t="shared" si="12"/>
        <v/>
      </c>
    </row>
    <row r="174" spans="12:21" x14ac:dyDescent="0.25">
      <c r="L174" s="26">
        <v>171</v>
      </c>
      <c r="M174" t="s">
        <v>149</v>
      </c>
      <c r="N174" s="1" t="str">
        <f t="shared" si="10"/>
        <v/>
      </c>
      <c r="O174" s="31"/>
      <c r="P174" s="34" t="str">
        <f t="shared" si="11"/>
        <v/>
      </c>
      <c r="R174" t="s">
        <v>149</v>
      </c>
      <c r="S174" s="1" t="str">
        <f t="shared" si="13"/>
        <v/>
      </c>
      <c r="T174" s="1"/>
      <c r="U174" s="35" t="str">
        <f t="shared" si="12"/>
        <v/>
      </c>
    </row>
    <row r="175" spans="12:21" x14ac:dyDescent="0.25">
      <c r="L175" s="26">
        <v>172</v>
      </c>
      <c r="M175" t="s">
        <v>148</v>
      </c>
      <c r="N175" s="1" t="str">
        <f t="shared" si="10"/>
        <v/>
      </c>
      <c r="O175" s="31"/>
      <c r="P175" s="34" t="str">
        <f t="shared" si="11"/>
        <v/>
      </c>
      <c r="R175" t="s">
        <v>148</v>
      </c>
      <c r="S175" s="1" t="str">
        <f t="shared" si="13"/>
        <v/>
      </c>
      <c r="T175" s="1"/>
      <c r="U175" s="35" t="str">
        <f t="shared" si="12"/>
        <v/>
      </c>
    </row>
    <row r="176" spans="12:21" x14ac:dyDescent="0.25">
      <c r="L176" s="26">
        <v>173</v>
      </c>
      <c r="M176" t="s">
        <v>147</v>
      </c>
      <c r="N176" s="1" t="str">
        <f t="shared" si="10"/>
        <v/>
      </c>
      <c r="O176" s="31"/>
      <c r="P176" s="34" t="str">
        <f t="shared" si="11"/>
        <v/>
      </c>
      <c r="R176" t="s">
        <v>147</v>
      </c>
      <c r="S176" s="1" t="str">
        <f t="shared" si="13"/>
        <v/>
      </c>
      <c r="T176" s="1"/>
      <c r="U176" s="35" t="str">
        <f t="shared" si="12"/>
        <v/>
      </c>
    </row>
    <row r="177" spans="12:21" x14ac:dyDescent="0.25">
      <c r="L177" s="26">
        <v>174</v>
      </c>
      <c r="M177" t="s">
        <v>146</v>
      </c>
      <c r="N177" s="1" t="str">
        <f t="shared" si="10"/>
        <v/>
      </c>
      <c r="O177" s="31"/>
      <c r="P177" s="34" t="str">
        <f t="shared" si="11"/>
        <v/>
      </c>
      <c r="R177" t="s">
        <v>146</v>
      </c>
      <c r="S177" s="1" t="str">
        <f t="shared" si="13"/>
        <v/>
      </c>
      <c r="T177" s="1"/>
      <c r="U177" s="35" t="str">
        <f t="shared" si="12"/>
        <v/>
      </c>
    </row>
    <row r="178" spans="12:21" x14ac:dyDescent="0.25">
      <c r="L178" s="26">
        <v>175</v>
      </c>
      <c r="M178" t="s">
        <v>145</v>
      </c>
      <c r="N178" s="1" t="str">
        <f t="shared" si="10"/>
        <v/>
      </c>
      <c r="O178" s="31"/>
      <c r="P178" s="34" t="str">
        <f t="shared" si="11"/>
        <v/>
      </c>
      <c r="R178" t="s">
        <v>145</v>
      </c>
      <c r="S178" s="1" t="str">
        <f t="shared" si="13"/>
        <v/>
      </c>
      <c r="T178" s="1"/>
      <c r="U178" s="35" t="str">
        <f t="shared" si="12"/>
        <v/>
      </c>
    </row>
    <row r="179" spans="12:21" x14ac:dyDescent="0.25">
      <c r="L179" s="26">
        <v>176</v>
      </c>
      <c r="M179" t="s">
        <v>144</v>
      </c>
      <c r="N179" s="1" t="str">
        <f t="shared" si="10"/>
        <v/>
      </c>
      <c r="O179" s="31"/>
      <c r="P179" s="34" t="str">
        <f t="shared" si="11"/>
        <v/>
      </c>
      <c r="R179" t="s">
        <v>144</v>
      </c>
      <c r="S179" s="1" t="str">
        <f t="shared" si="13"/>
        <v/>
      </c>
      <c r="T179" s="1"/>
      <c r="U179" s="35" t="str">
        <f t="shared" si="12"/>
        <v/>
      </c>
    </row>
    <row r="180" spans="12:21" x14ac:dyDescent="0.25">
      <c r="L180" s="26">
        <v>177</v>
      </c>
      <c r="M180" t="s">
        <v>143</v>
      </c>
      <c r="N180" s="1" t="str">
        <f t="shared" si="10"/>
        <v/>
      </c>
      <c r="O180" s="31"/>
      <c r="P180" s="34" t="str">
        <f t="shared" si="11"/>
        <v/>
      </c>
      <c r="R180" t="s">
        <v>143</v>
      </c>
      <c r="S180" s="1" t="str">
        <f t="shared" si="13"/>
        <v/>
      </c>
      <c r="T180" s="1"/>
      <c r="U180" s="35" t="str">
        <f t="shared" si="12"/>
        <v/>
      </c>
    </row>
    <row r="181" spans="12:21" x14ac:dyDescent="0.25">
      <c r="L181" s="26">
        <v>178</v>
      </c>
      <c r="M181" t="s">
        <v>142</v>
      </c>
      <c r="N181" s="1" t="str">
        <f t="shared" si="10"/>
        <v/>
      </c>
      <c r="O181" s="31"/>
      <c r="P181" s="34" t="str">
        <f t="shared" si="11"/>
        <v/>
      </c>
      <c r="R181" t="s">
        <v>142</v>
      </c>
      <c r="S181" s="1" t="str">
        <f t="shared" si="13"/>
        <v/>
      </c>
      <c r="T181" s="1"/>
      <c r="U181" s="35" t="str">
        <f t="shared" si="12"/>
        <v/>
      </c>
    </row>
    <row r="182" spans="12:21" x14ac:dyDescent="0.25">
      <c r="L182" s="26">
        <v>179</v>
      </c>
      <c r="M182" t="s">
        <v>141</v>
      </c>
      <c r="N182" s="1" t="str">
        <f t="shared" si="10"/>
        <v/>
      </c>
      <c r="O182" s="31"/>
      <c r="P182" s="34" t="str">
        <f t="shared" si="11"/>
        <v/>
      </c>
      <c r="R182" t="s">
        <v>141</v>
      </c>
      <c r="S182" s="1" t="str">
        <f t="shared" si="13"/>
        <v/>
      </c>
      <c r="T182" s="1"/>
      <c r="U182" s="35" t="str">
        <f t="shared" si="12"/>
        <v/>
      </c>
    </row>
    <row r="183" spans="12:21" x14ac:dyDescent="0.25">
      <c r="L183" s="26">
        <v>180</v>
      </c>
      <c r="M183" t="s">
        <v>140</v>
      </c>
      <c r="N183" s="1" t="str">
        <f t="shared" si="10"/>
        <v/>
      </c>
      <c r="O183" s="31"/>
      <c r="P183" s="34" t="str">
        <f t="shared" si="11"/>
        <v/>
      </c>
      <c r="R183" t="s">
        <v>140</v>
      </c>
      <c r="S183" s="1" t="str">
        <f t="shared" si="13"/>
        <v/>
      </c>
      <c r="T183" s="1"/>
      <c r="U183" s="35" t="str">
        <f t="shared" si="12"/>
        <v/>
      </c>
    </row>
    <row r="184" spans="12:21" x14ac:dyDescent="0.25">
      <c r="L184" s="26">
        <v>181</v>
      </c>
      <c r="M184" t="s">
        <v>139</v>
      </c>
      <c r="N184" s="1" t="str">
        <f t="shared" si="10"/>
        <v/>
      </c>
      <c r="O184" s="31"/>
      <c r="P184" s="34" t="str">
        <f t="shared" si="11"/>
        <v/>
      </c>
      <c r="R184" t="s">
        <v>139</v>
      </c>
      <c r="S184" s="1" t="str">
        <f t="shared" si="13"/>
        <v/>
      </c>
      <c r="T184" s="1"/>
      <c r="U184" s="35" t="str">
        <f t="shared" si="12"/>
        <v/>
      </c>
    </row>
    <row r="185" spans="12:21" x14ac:dyDescent="0.25">
      <c r="L185" s="26">
        <v>182</v>
      </c>
      <c r="M185" t="s">
        <v>138</v>
      </c>
      <c r="N185" s="1" t="str">
        <f t="shared" si="10"/>
        <v/>
      </c>
      <c r="O185" s="31"/>
      <c r="P185" s="34" t="str">
        <f t="shared" si="11"/>
        <v/>
      </c>
      <c r="R185" t="s">
        <v>138</v>
      </c>
      <c r="S185" s="1" t="str">
        <f t="shared" si="13"/>
        <v/>
      </c>
      <c r="T185" s="1"/>
      <c r="U185" s="35" t="str">
        <f t="shared" si="12"/>
        <v/>
      </c>
    </row>
    <row r="186" spans="12:21" x14ac:dyDescent="0.25">
      <c r="L186" s="26">
        <v>183</v>
      </c>
      <c r="M186" t="s">
        <v>137</v>
      </c>
      <c r="N186" s="1" t="str">
        <f t="shared" si="10"/>
        <v/>
      </c>
      <c r="O186" s="31"/>
      <c r="P186" s="34" t="str">
        <f t="shared" si="11"/>
        <v/>
      </c>
      <c r="R186" t="s">
        <v>137</v>
      </c>
      <c r="S186" s="1" t="str">
        <f t="shared" si="13"/>
        <v/>
      </c>
      <c r="T186" s="1"/>
      <c r="U186" s="35" t="str">
        <f t="shared" si="12"/>
        <v/>
      </c>
    </row>
    <row r="187" spans="12:21" x14ac:dyDescent="0.25">
      <c r="L187" s="26">
        <v>184</v>
      </c>
      <c r="M187" t="s">
        <v>136</v>
      </c>
      <c r="N187" s="1" t="str">
        <f t="shared" si="10"/>
        <v/>
      </c>
      <c r="O187" s="31"/>
      <c r="P187" s="34" t="str">
        <f t="shared" si="11"/>
        <v/>
      </c>
      <c r="R187" t="s">
        <v>136</v>
      </c>
      <c r="S187" s="1" t="str">
        <f t="shared" si="13"/>
        <v/>
      </c>
      <c r="T187" s="1"/>
      <c r="U187" s="35" t="str">
        <f t="shared" si="12"/>
        <v/>
      </c>
    </row>
    <row r="188" spans="12:21" x14ac:dyDescent="0.25">
      <c r="L188" s="26">
        <v>185</v>
      </c>
      <c r="M188" t="s">
        <v>135</v>
      </c>
      <c r="N188" s="1" t="str">
        <f t="shared" si="10"/>
        <v/>
      </c>
      <c r="O188" s="31"/>
      <c r="P188" s="34" t="str">
        <f t="shared" si="11"/>
        <v/>
      </c>
      <c r="R188" t="s">
        <v>135</v>
      </c>
      <c r="S188" s="1" t="str">
        <f t="shared" si="13"/>
        <v/>
      </c>
      <c r="T188" s="1"/>
      <c r="U188" s="35" t="str">
        <f t="shared" si="12"/>
        <v/>
      </c>
    </row>
    <row r="189" spans="12:21" x14ac:dyDescent="0.25">
      <c r="L189" s="26">
        <v>186</v>
      </c>
      <c r="M189" t="s">
        <v>134</v>
      </c>
      <c r="N189" s="1" t="str">
        <f t="shared" si="10"/>
        <v/>
      </c>
      <c r="O189" s="31"/>
      <c r="P189" s="34" t="str">
        <f t="shared" si="11"/>
        <v/>
      </c>
      <c r="R189" t="s">
        <v>134</v>
      </c>
      <c r="S189" s="1" t="str">
        <f t="shared" si="13"/>
        <v/>
      </c>
      <c r="T189" s="1"/>
      <c r="U189" s="35" t="str">
        <f t="shared" si="12"/>
        <v/>
      </c>
    </row>
    <row r="190" spans="12:21" x14ac:dyDescent="0.25">
      <c r="L190" s="26">
        <v>187</v>
      </c>
      <c r="M190" t="s">
        <v>133</v>
      </c>
      <c r="N190" s="1" t="str">
        <f t="shared" si="10"/>
        <v/>
      </c>
      <c r="O190" s="31"/>
      <c r="P190" s="34" t="str">
        <f t="shared" si="11"/>
        <v/>
      </c>
      <c r="R190" t="s">
        <v>133</v>
      </c>
      <c r="S190" s="1" t="str">
        <f t="shared" si="13"/>
        <v/>
      </c>
      <c r="T190" s="1"/>
      <c r="U190" s="35" t="str">
        <f t="shared" si="12"/>
        <v/>
      </c>
    </row>
    <row r="191" spans="12:21" x14ac:dyDescent="0.25">
      <c r="L191" s="26">
        <v>188</v>
      </c>
      <c r="M191" t="s">
        <v>132</v>
      </c>
      <c r="N191" s="1" t="str">
        <f t="shared" si="10"/>
        <v/>
      </c>
      <c r="O191" s="31"/>
      <c r="P191" s="34" t="str">
        <f t="shared" si="11"/>
        <v/>
      </c>
      <c r="R191" t="s">
        <v>132</v>
      </c>
      <c r="S191" s="1" t="str">
        <f t="shared" si="13"/>
        <v/>
      </c>
      <c r="T191" s="1"/>
      <c r="U191" s="35" t="str">
        <f t="shared" si="12"/>
        <v/>
      </c>
    </row>
    <row r="192" spans="12:21" x14ac:dyDescent="0.25">
      <c r="L192" s="26">
        <v>189</v>
      </c>
      <c r="M192" t="s">
        <v>131</v>
      </c>
      <c r="N192" s="1" t="str">
        <f t="shared" si="10"/>
        <v/>
      </c>
      <c r="O192" s="31"/>
      <c r="P192" s="34" t="str">
        <f t="shared" si="11"/>
        <v/>
      </c>
      <c r="R192" t="s">
        <v>131</v>
      </c>
      <c r="S192" s="1" t="str">
        <f t="shared" si="13"/>
        <v/>
      </c>
      <c r="T192" s="1"/>
      <c r="U192" s="35" t="str">
        <f t="shared" si="12"/>
        <v/>
      </c>
    </row>
    <row r="193" spans="12:21" x14ac:dyDescent="0.25">
      <c r="L193" s="26">
        <v>190</v>
      </c>
      <c r="M193" t="s">
        <v>130</v>
      </c>
      <c r="N193" s="1" t="str">
        <f t="shared" si="10"/>
        <v/>
      </c>
      <c r="O193" s="31"/>
      <c r="P193" s="34" t="str">
        <f t="shared" si="11"/>
        <v/>
      </c>
      <c r="R193" t="s">
        <v>130</v>
      </c>
      <c r="S193" s="1" t="str">
        <f t="shared" si="13"/>
        <v/>
      </c>
      <c r="T193" s="1"/>
      <c r="U193" s="35" t="str">
        <f t="shared" si="12"/>
        <v/>
      </c>
    </row>
    <row r="194" spans="12:21" x14ac:dyDescent="0.25">
      <c r="L194" s="26">
        <v>191</v>
      </c>
      <c r="M194" t="s">
        <v>129</v>
      </c>
      <c r="N194" s="1" t="str">
        <f t="shared" si="10"/>
        <v/>
      </c>
      <c r="O194" s="31"/>
      <c r="P194" s="34" t="str">
        <f t="shared" si="11"/>
        <v/>
      </c>
      <c r="R194" t="s">
        <v>129</v>
      </c>
      <c r="S194" s="1" t="str">
        <f t="shared" si="13"/>
        <v/>
      </c>
      <c r="T194" s="1"/>
      <c r="U194" s="35" t="str">
        <f t="shared" si="12"/>
        <v/>
      </c>
    </row>
    <row r="195" spans="12:21" x14ac:dyDescent="0.25">
      <c r="L195" s="26">
        <v>192</v>
      </c>
      <c r="M195" t="s">
        <v>128</v>
      </c>
      <c r="N195" s="1" t="str">
        <f t="shared" si="10"/>
        <v/>
      </c>
      <c r="O195" s="31"/>
      <c r="P195" s="34" t="str">
        <f t="shared" si="11"/>
        <v/>
      </c>
      <c r="R195" t="s">
        <v>128</v>
      </c>
      <c r="S195" s="1" t="str">
        <f t="shared" si="13"/>
        <v/>
      </c>
      <c r="T195" s="1"/>
      <c r="U195" s="35" t="str">
        <f t="shared" si="12"/>
        <v/>
      </c>
    </row>
    <row r="196" spans="12:21" x14ac:dyDescent="0.25">
      <c r="L196" s="26">
        <v>193</v>
      </c>
      <c r="M196" t="s">
        <v>127</v>
      </c>
      <c r="N196" s="1" t="str">
        <f t="shared" si="10"/>
        <v/>
      </c>
      <c r="O196" s="31"/>
      <c r="P196" s="34" t="str">
        <f t="shared" si="11"/>
        <v/>
      </c>
      <c r="R196" t="s">
        <v>127</v>
      </c>
      <c r="S196" s="1" t="str">
        <f t="shared" si="13"/>
        <v/>
      </c>
      <c r="T196" s="1"/>
      <c r="U196" s="35" t="str">
        <f t="shared" si="12"/>
        <v/>
      </c>
    </row>
    <row r="197" spans="12:21" x14ac:dyDescent="0.25">
      <c r="L197" s="26">
        <v>194</v>
      </c>
      <c r="M197" t="s">
        <v>126</v>
      </c>
      <c r="N197" s="1" t="str">
        <f t="shared" ref="N197:N252" si="14">IF(L197&gt;$I$2,"",F197/$D$3-1)</f>
        <v/>
      </c>
      <c r="O197" s="31"/>
      <c r="P197" s="34" t="str">
        <f t="shared" ref="P197:P253" si="15">IF(AND(L197&lt;=$I$2,N197&lt;= -0.1),1,"")</f>
        <v/>
      </c>
      <c r="R197" t="s">
        <v>126</v>
      </c>
      <c r="S197" s="1" t="str">
        <f t="shared" si="13"/>
        <v/>
      </c>
      <c r="T197" s="1"/>
      <c r="U197" s="35" t="str">
        <f t="shared" ref="U197:U253" si="16">IF(AND(L197&lt;=$I$2,S197&gt;=0.2),1,"")</f>
        <v/>
      </c>
    </row>
    <row r="198" spans="12:21" x14ac:dyDescent="0.25">
      <c r="L198" s="26">
        <v>195</v>
      </c>
      <c r="M198" t="s">
        <v>125</v>
      </c>
      <c r="N198" s="1" t="str">
        <f t="shared" si="14"/>
        <v/>
      </c>
      <c r="O198" s="31"/>
      <c r="P198" s="34" t="str">
        <f t="shared" si="15"/>
        <v/>
      </c>
      <c r="R198" t="s">
        <v>125</v>
      </c>
      <c r="S198" s="1" t="str">
        <f t="shared" si="13"/>
        <v/>
      </c>
      <c r="T198" s="1"/>
      <c r="U198" s="35" t="str">
        <f t="shared" si="16"/>
        <v/>
      </c>
    </row>
    <row r="199" spans="12:21" x14ac:dyDescent="0.25">
      <c r="L199" s="26">
        <v>196</v>
      </c>
      <c r="M199" t="s">
        <v>124</v>
      </c>
      <c r="N199" s="1" t="str">
        <f t="shared" si="14"/>
        <v/>
      </c>
      <c r="O199" s="31"/>
      <c r="P199" s="34" t="str">
        <f t="shared" si="15"/>
        <v/>
      </c>
      <c r="R199" t="s">
        <v>124</v>
      </c>
      <c r="S199" s="1" t="str">
        <f t="shared" si="13"/>
        <v/>
      </c>
      <c r="T199" s="1"/>
      <c r="U199" s="35" t="str">
        <f t="shared" si="16"/>
        <v/>
      </c>
    </row>
    <row r="200" spans="12:21" x14ac:dyDescent="0.25">
      <c r="L200" s="26">
        <v>197</v>
      </c>
      <c r="M200" t="s">
        <v>123</v>
      </c>
      <c r="N200" s="1" t="str">
        <f t="shared" si="14"/>
        <v/>
      </c>
      <c r="O200" s="31"/>
      <c r="P200" s="34" t="str">
        <f t="shared" si="15"/>
        <v/>
      </c>
      <c r="R200" t="s">
        <v>123</v>
      </c>
      <c r="S200" s="1" t="str">
        <f t="shared" si="13"/>
        <v/>
      </c>
      <c r="T200" s="1"/>
      <c r="U200" s="35" t="str">
        <f t="shared" si="16"/>
        <v/>
      </c>
    </row>
    <row r="201" spans="12:21" x14ac:dyDescent="0.25">
      <c r="L201" s="26">
        <v>198</v>
      </c>
      <c r="M201" t="s">
        <v>122</v>
      </c>
      <c r="N201" s="1" t="str">
        <f t="shared" si="14"/>
        <v/>
      </c>
      <c r="O201" s="31"/>
      <c r="P201" s="34" t="str">
        <f t="shared" si="15"/>
        <v/>
      </c>
      <c r="R201" t="s">
        <v>122</v>
      </c>
      <c r="S201" s="1" t="str">
        <f t="shared" si="13"/>
        <v/>
      </c>
      <c r="T201" s="1"/>
      <c r="U201" s="35" t="str">
        <f t="shared" si="16"/>
        <v/>
      </c>
    </row>
    <row r="202" spans="12:21" x14ac:dyDescent="0.25">
      <c r="L202" s="26">
        <v>199</v>
      </c>
      <c r="M202" t="s">
        <v>121</v>
      </c>
      <c r="N202" s="1" t="str">
        <f t="shared" si="14"/>
        <v/>
      </c>
      <c r="O202" s="31"/>
      <c r="P202" s="34" t="str">
        <f t="shared" si="15"/>
        <v/>
      </c>
      <c r="R202" t="s">
        <v>121</v>
      </c>
      <c r="S202" s="1" t="str">
        <f t="shared" si="13"/>
        <v/>
      </c>
      <c r="T202" s="1"/>
      <c r="U202" s="35" t="str">
        <f t="shared" si="16"/>
        <v/>
      </c>
    </row>
    <row r="203" spans="12:21" x14ac:dyDescent="0.25">
      <c r="L203" s="26">
        <v>200</v>
      </c>
      <c r="M203" t="s">
        <v>120</v>
      </c>
      <c r="N203" s="1" t="str">
        <f t="shared" si="14"/>
        <v/>
      </c>
      <c r="O203" s="31"/>
      <c r="P203" s="34" t="str">
        <f t="shared" si="15"/>
        <v/>
      </c>
      <c r="R203" t="s">
        <v>120</v>
      </c>
      <c r="S203" s="1" t="str">
        <f t="shared" si="13"/>
        <v/>
      </c>
      <c r="T203" s="1"/>
      <c r="U203" s="35" t="str">
        <f t="shared" si="16"/>
        <v/>
      </c>
    </row>
    <row r="204" spans="12:21" x14ac:dyDescent="0.25">
      <c r="L204" s="26">
        <v>201</v>
      </c>
      <c r="M204" t="s">
        <v>119</v>
      </c>
      <c r="N204" s="1" t="str">
        <f t="shared" si="14"/>
        <v/>
      </c>
      <c r="O204" s="31"/>
      <c r="P204" s="34" t="str">
        <f t="shared" si="15"/>
        <v/>
      </c>
      <c r="R204" t="s">
        <v>119</v>
      </c>
      <c r="S204" s="1" t="str">
        <f t="shared" si="13"/>
        <v/>
      </c>
      <c r="T204" s="1"/>
      <c r="U204" s="35" t="str">
        <f t="shared" si="16"/>
        <v/>
      </c>
    </row>
    <row r="205" spans="12:21" x14ac:dyDescent="0.25">
      <c r="L205" s="26">
        <v>202</v>
      </c>
      <c r="M205" t="s">
        <v>118</v>
      </c>
      <c r="N205" s="1" t="str">
        <f t="shared" si="14"/>
        <v/>
      </c>
      <c r="O205" s="31"/>
      <c r="P205" s="34" t="str">
        <f t="shared" si="15"/>
        <v/>
      </c>
      <c r="R205" t="s">
        <v>118</v>
      </c>
      <c r="S205" s="1" t="str">
        <f t="shared" si="13"/>
        <v/>
      </c>
      <c r="T205" s="1"/>
      <c r="U205" s="35" t="str">
        <f t="shared" si="16"/>
        <v/>
      </c>
    </row>
    <row r="206" spans="12:21" x14ac:dyDescent="0.25">
      <c r="L206" s="26">
        <v>203</v>
      </c>
      <c r="M206" t="s">
        <v>117</v>
      </c>
      <c r="N206" s="1" t="str">
        <f t="shared" si="14"/>
        <v/>
      </c>
      <c r="O206" s="31"/>
      <c r="P206" s="34" t="str">
        <f t="shared" si="15"/>
        <v/>
      </c>
      <c r="R206" t="s">
        <v>117</v>
      </c>
      <c r="S206" s="1" t="str">
        <f t="shared" si="13"/>
        <v/>
      </c>
      <c r="T206" s="1"/>
      <c r="U206" s="35" t="str">
        <f t="shared" si="16"/>
        <v/>
      </c>
    </row>
    <row r="207" spans="12:21" x14ac:dyDescent="0.25">
      <c r="L207" s="26">
        <v>204</v>
      </c>
      <c r="M207" t="s">
        <v>116</v>
      </c>
      <c r="N207" s="1" t="str">
        <f t="shared" si="14"/>
        <v/>
      </c>
      <c r="O207" s="31"/>
      <c r="P207" s="34" t="str">
        <f t="shared" si="15"/>
        <v/>
      </c>
      <c r="R207" t="s">
        <v>116</v>
      </c>
      <c r="S207" s="1" t="str">
        <f t="shared" si="13"/>
        <v/>
      </c>
      <c r="T207" s="1"/>
      <c r="U207" s="35" t="str">
        <f t="shared" si="16"/>
        <v/>
      </c>
    </row>
    <row r="208" spans="12:21" x14ac:dyDescent="0.25">
      <c r="L208" s="26">
        <v>205</v>
      </c>
      <c r="M208" t="s">
        <v>115</v>
      </c>
      <c r="N208" s="1" t="str">
        <f t="shared" si="14"/>
        <v/>
      </c>
      <c r="O208" s="31"/>
      <c r="P208" s="34" t="str">
        <f t="shared" si="15"/>
        <v/>
      </c>
      <c r="R208" t="s">
        <v>115</v>
      </c>
      <c r="S208" s="1" t="str">
        <f t="shared" si="13"/>
        <v/>
      </c>
      <c r="T208" s="1"/>
      <c r="U208" s="35" t="str">
        <f t="shared" si="16"/>
        <v/>
      </c>
    </row>
    <row r="209" spans="12:21" x14ac:dyDescent="0.25">
      <c r="L209" s="26">
        <v>206</v>
      </c>
      <c r="M209" t="s">
        <v>114</v>
      </c>
      <c r="N209" s="1" t="str">
        <f t="shared" si="14"/>
        <v/>
      </c>
      <c r="O209" s="31"/>
      <c r="P209" s="34" t="str">
        <f t="shared" si="15"/>
        <v/>
      </c>
      <c r="R209" t="s">
        <v>114</v>
      </c>
      <c r="S209" s="1" t="str">
        <f t="shared" si="13"/>
        <v/>
      </c>
      <c r="T209" s="1"/>
      <c r="U209" s="35" t="str">
        <f t="shared" si="16"/>
        <v/>
      </c>
    </row>
    <row r="210" spans="12:21" x14ac:dyDescent="0.25">
      <c r="L210" s="26">
        <v>207</v>
      </c>
      <c r="M210" t="s">
        <v>113</v>
      </c>
      <c r="N210" s="1" t="str">
        <f t="shared" si="14"/>
        <v/>
      </c>
      <c r="O210" s="31"/>
      <c r="P210" s="34" t="str">
        <f t="shared" si="15"/>
        <v/>
      </c>
      <c r="R210" t="s">
        <v>113</v>
      </c>
      <c r="S210" s="1" t="str">
        <f t="shared" si="13"/>
        <v/>
      </c>
      <c r="T210" s="1"/>
      <c r="U210" s="35" t="str">
        <f t="shared" si="16"/>
        <v/>
      </c>
    </row>
    <row r="211" spans="12:21" x14ac:dyDescent="0.25">
      <c r="L211" s="26">
        <v>208</v>
      </c>
      <c r="M211" t="s">
        <v>112</v>
      </c>
      <c r="N211" s="1" t="str">
        <f t="shared" si="14"/>
        <v/>
      </c>
      <c r="O211" s="31"/>
      <c r="P211" s="34" t="str">
        <f t="shared" si="15"/>
        <v/>
      </c>
      <c r="R211" t="s">
        <v>112</v>
      </c>
      <c r="S211" s="1" t="str">
        <f t="shared" si="13"/>
        <v/>
      </c>
      <c r="T211" s="1"/>
      <c r="U211" s="35" t="str">
        <f t="shared" si="16"/>
        <v/>
      </c>
    </row>
    <row r="212" spans="12:21" x14ac:dyDescent="0.25">
      <c r="L212" s="26">
        <v>209</v>
      </c>
      <c r="M212" t="s">
        <v>111</v>
      </c>
      <c r="N212" s="1" t="str">
        <f t="shared" si="14"/>
        <v/>
      </c>
      <c r="O212" s="31"/>
      <c r="P212" s="34" t="str">
        <f t="shared" si="15"/>
        <v/>
      </c>
      <c r="R212" t="s">
        <v>111</v>
      </c>
      <c r="S212" s="1" t="str">
        <f t="shared" si="13"/>
        <v/>
      </c>
      <c r="T212" s="1"/>
      <c r="U212" s="35" t="str">
        <f t="shared" si="16"/>
        <v/>
      </c>
    </row>
    <row r="213" spans="12:21" x14ac:dyDescent="0.25">
      <c r="L213" s="26">
        <v>210</v>
      </c>
      <c r="M213" t="s">
        <v>110</v>
      </c>
      <c r="N213" s="1" t="str">
        <f t="shared" si="14"/>
        <v/>
      </c>
      <c r="O213" s="31"/>
      <c r="P213" s="34" t="str">
        <f t="shared" si="15"/>
        <v/>
      </c>
      <c r="R213" t="s">
        <v>110</v>
      </c>
      <c r="S213" s="1" t="str">
        <f t="shared" si="13"/>
        <v/>
      </c>
      <c r="T213" s="1"/>
      <c r="U213" s="35" t="str">
        <f t="shared" si="16"/>
        <v/>
      </c>
    </row>
    <row r="214" spans="12:21" x14ac:dyDescent="0.25">
      <c r="L214" s="26">
        <v>211</v>
      </c>
      <c r="M214" t="s">
        <v>109</v>
      </c>
      <c r="N214" s="1" t="str">
        <f t="shared" si="14"/>
        <v/>
      </c>
      <c r="O214" s="31"/>
      <c r="P214" s="34" t="str">
        <f t="shared" si="15"/>
        <v/>
      </c>
      <c r="R214" t="s">
        <v>109</v>
      </c>
      <c r="S214" s="1" t="str">
        <f t="shared" si="13"/>
        <v/>
      </c>
      <c r="T214" s="1"/>
      <c r="U214" s="35" t="str">
        <f t="shared" si="16"/>
        <v/>
      </c>
    </row>
    <row r="215" spans="12:21" x14ac:dyDescent="0.25">
      <c r="L215" s="26">
        <v>212</v>
      </c>
      <c r="M215" t="s">
        <v>108</v>
      </c>
      <c r="N215" s="1" t="str">
        <f t="shared" si="14"/>
        <v/>
      </c>
      <c r="O215" s="31"/>
      <c r="P215" s="34" t="str">
        <f t="shared" si="15"/>
        <v/>
      </c>
      <c r="R215" t="s">
        <v>108</v>
      </c>
      <c r="S215" s="1" t="str">
        <f t="shared" si="13"/>
        <v/>
      </c>
      <c r="T215" s="1"/>
      <c r="U215" s="35" t="str">
        <f t="shared" si="16"/>
        <v/>
      </c>
    </row>
    <row r="216" spans="12:21" x14ac:dyDescent="0.25">
      <c r="L216" s="26">
        <v>213</v>
      </c>
      <c r="M216" t="s">
        <v>107</v>
      </c>
      <c r="N216" s="1" t="str">
        <f t="shared" si="14"/>
        <v/>
      </c>
      <c r="O216" s="31"/>
      <c r="P216" s="34" t="str">
        <f t="shared" si="15"/>
        <v/>
      </c>
      <c r="R216" t="s">
        <v>107</v>
      </c>
      <c r="S216" s="1" t="str">
        <f t="shared" ref="S216:S252" si="17">IF(L216&gt;$I$2,"",E216/$D$3-1)</f>
        <v/>
      </c>
      <c r="T216" s="1"/>
      <c r="U216" s="35" t="str">
        <f t="shared" si="16"/>
        <v/>
      </c>
    </row>
    <row r="217" spans="12:21" x14ac:dyDescent="0.25">
      <c r="L217" s="26">
        <v>214</v>
      </c>
      <c r="M217" t="s">
        <v>106</v>
      </c>
      <c r="N217" s="1" t="str">
        <f t="shared" si="14"/>
        <v/>
      </c>
      <c r="O217" s="31"/>
      <c r="P217" s="34" t="str">
        <f t="shared" si="15"/>
        <v/>
      </c>
      <c r="R217" t="s">
        <v>106</v>
      </c>
      <c r="S217" s="1" t="str">
        <f t="shared" si="17"/>
        <v/>
      </c>
      <c r="T217" s="1"/>
      <c r="U217" s="35" t="str">
        <f t="shared" si="16"/>
        <v/>
      </c>
    </row>
    <row r="218" spans="12:21" x14ac:dyDescent="0.25">
      <c r="L218" s="26">
        <v>215</v>
      </c>
      <c r="M218" t="s">
        <v>105</v>
      </c>
      <c r="N218" s="1" t="str">
        <f t="shared" si="14"/>
        <v/>
      </c>
      <c r="O218" s="31"/>
      <c r="P218" s="34" t="str">
        <f t="shared" si="15"/>
        <v/>
      </c>
      <c r="R218" t="s">
        <v>105</v>
      </c>
      <c r="S218" s="1" t="str">
        <f t="shared" si="17"/>
        <v/>
      </c>
      <c r="T218" s="1"/>
      <c r="U218" s="35" t="str">
        <f t="shared" si="16"/>
        <v/>
      </c>
    </row>
    <row r="219" spans="12:21" x14ac:dyDescent="0.25">
      <c r="L219" s="26">
        <v>216</v>
      </c>
      <c r="M219" t="s">
        <v>104</v>
      </c>
      <c r="N219" s="1" t="str">
        <f t="shared" si="14"/>
        <v/>
      </c>
      <c r="O219" s="31"/>
      <c r="P219" s="34" t="str">
        <f t="shared" si="15"/>
        <v/>
      </c>
      <c r="R219" t="s">
        <v>104</v>
      </c>
      <c r="S219" s="1" t="str">
        <f t="shared" si="17"/>
        <v/>
      </c>
      <c r="T219" s="1"/>
      <c r="U219" s="35" t="str">
        <f t="shared" si="16"/>
        <v/>
      </c>
    </row>
    <row r="220" spans="12:21" x14ac:dyDescent="0.25">
      <c r="L220" s="26">
        <v>217</v>
      </c>
      <c r="M220" t="s">
        <v>103</v>
      </c>
      <c r="N220" s="1" t="str">
        <f t="shared" si="14"/>
        <v/>
      </c>
      <c r="O220" s="31"/>
      <c r="P220" s="34" t="str">
        <f t="shared" si="15"/>
        <v/>
      </c>
      <c r="R220" t="s">
        <v>103</v>
      </c>
      <c r="S220" s="1" t="str">
        <f t="shared" si="17"/>
        <v/>
      </c>
      <c r="T220" s="1"/>
      <c r="U220" s="35" t="str">
        <f t="shared" si="16"/>
        <v/>
      </c>
    </row>
    <row r="221" spans="12:21" x14ac:dyDescent="0.25">
      <c r="L221" s="26">
        <v>218</v>
      </c>
      <c r="M221" t="s">
        <v>102</v>
      </c>
      <c r="N221" s="1" t="str">
        <f t="shared" si="14"/>
        <v/>
      </c>
      <c r="O221" s="31"/>
      <c r="P221" s="34" t="str">
        <f t="shared" si="15"/>
        <v/>
      </c>
      <c r="R221" t="s">
        <v>102</v>
      </c>
      <c r="S221" s="1" t="str">
        <f t="shared" si="17"/>
        <v/>
      </c>
      <c r="T221" s="1"/>
      <c r="U221" s="35" t="str">
        <f t="shared" si="16"/>
        <v/>
      </c>
    </row>
    <row r="222" spans="12:21" x14ac:dyDescent="0.25">
      <c r="L222" s="26">
        <v>219</v>
      </c>
      <c r="M222" t="s">
        <v>101</v>
      </c>
      <c r="N222" s="1" t="str">
        <f t="shared" si="14"/>
        <v/>
      </c>
      <c r="O222" s="31"/>
      <c r="P222" s="34" t="str">
        <f t="shared" si="15"/>
        <v/>
      </c>
      <c r="R222" t="s">
        <v>101</v>
      </c>
      <c r="S222" s="1" t="str">
        <f t="shared" si="17"/>
        <v/>
      </c>
      <c r="T222" s="1"/>
      <c r="U222" s="35" t="str">
        <f t="shared" si="16"/>
        <v/>
      </c>
    </row>
    <row r="223" spans="12:21" x14ac:dyDescent="0.25">
      <c r="L223" s="26">
        <v>220</v>
      </c>
      <c r="M223" t="s">
        <v>100</v>
      </c>
      <c r="N223" s="1" t="str">
        <f t="shared" si="14"/>
        <v/>
      </c>
      <c r="O223" s="31"/>
      <c r="P223" s="34" t="str">
        <f t="shared" si="15"/>
        <v/>
      </c>
      <c r="R223" t="s">
        <v>100</v>
      </c>
      <c r="S223" s="1" t="str">
        <f t="shared" si="17"/>
        <v/>
      </c>
      <c r="T223" s="1"/>
      <c r="U223" s="35" t="str">
        <f t="shared" si="16"/>
        <v/>
      </c>
    </row>
    <row r="224" spans="12:21" x14ac:dyDescent="0.25">
      <c r="L224" s="26">
        <v>221</v>
      </c>
      <c r="M224" t="s">
        <v>99</v>
      </c>
      <c r="N224" s="1" t="str">
        <f t="shared" si="14"/>
        <v/>
      </c>
      <c r="O224" s="31"/>
      <c r="P224" s="34" t="str">
        <f t="shared" si="15"/>
        <v/>
      </c>
      <c r="R224" t="s">
        <v>99</v>
      </c>
      <c r="S224" s="1" t="str">
        <f t="shared" si="17"/>
        <v/>
      </c>
      <c r="T224" s="1"/>
      <c r="U224" s="35" t="str">
        <f t="shared" si="16"/>
        <v/>
      </c>
    </row>
    <row r="225" spans="12:21" x14ac:dyDescent="0.25">
      <c r="L225" s="26">
        <v>222</v>
      </c>
      <c r="M225" t="s">
        <v>98</v>
      </c>
      <c r="N225" s="1" t="str">
        <f t="shared" si="14"/>
        <v/>
      </c>
      <c r="O225" s="31"/>
      <c r="P225" s="34" t="str">
        <f t="shared" si="15"/>
        <v/>
      </c>
      <c r="R225" t="s">
        <v>98</v>
      </c>
      <c r="S225" s="1" t="str">
        <f t="shared" si="17"/>
        <v/>
      </c>
      <c r="T225" s="1"/>
      <c r="U225" s="35" t="str">
        <f t="shared" si="16"/>
        <v/>
      </c>
    </row>
    <row r="226" spans="12:21" x14ac:dyDescent="0.25">
      <c r="L226" s="26">
        <v>223</v>
      </c>
      <c r="M226" t="s">
        <v>97</v>
      </c>
      <c r="N226" s="1" t="str">
        <f t="shared" si="14"/>
        <v/>
      </c>
      <c r="O226" s="31"/>
      <c r="P226" s="34" t="str">
        <f t="shared" si="15"/>
        <v/>
      </c>
      <c r="R226" t="s">
        <v>97</v>
      </c>
      <c r="S226" s="1" t="str">
        <f t="shared" si="17"/>
        <v/>
      </c>
      <c r="T226" s="1"/>
      <c r="U226" s="35" t="str">
        <f t="shared" si="16"/>
        <v/>
      </c>
    </row>
    <row r="227" spans="12:21" x14ac:dyDescent="0.25">
      <c r="L227" s="26">
        <v>224</v>
      </c>
      <c r="M227" t="s">
        <v>96</v>
      </c>
      <c r="N227" s="1" t="str">
        <f t="shared" si="14"/>
        <v/>
      </c>
      <c r="O227" s="31"/>
      <c r="P227" s="34" t="str">
        <f t="shared" si="15"/>
        <v/>
      </c>
      <c r="R227" t="s">
        <v>96</v>
      </c>
      <c r="S227" s="1" t="str">
        <f t="shared" si="17"/>
        <v/>
      </c>
      <c r="T227" s="1"/>
      <c r="U227" s="35" t="str">
        <f t="shared" si="16"/>
        <v/>
      </c>
    </row>
    <row r="228" spans="12:21" x14ac:dyDescent="0.25">
      <c r="L228" s="26">
        <v>225</v>
      </c>
      <c r="M228" t="s">
        <v>95</v>
      </c>
      <c r="N228" s="1" t="str">
        <f t="shared" si="14"/>
        <v/>
      </c>
      <c r="O228" s="31"/>
      <c r="P228" s="34" t="str">
        <f t="shared" si="15"/>
        <v/>
      </c>
      <c r="R228" t="s">
        <v>95</v>
      </c>
      <c r="S228" s="1" t="str">
        <f t="shared" si="17"/>
        <v/>
      </c>
      <c r="T228" s="1"/>
      <c r="U228" s="35" t="str">
        <f t="shared" si="16"/>
        <v/>
      </c>
    </row>
    <row r="229" spans="12:21" x14ac:dyDescent="0.25">
      <c r="L229" s="26">
        <v>226</v>
      </c>
      <c r="M229" t="s">
        <v>94</v>
      </c>
      <c r="N229" s="1" t="str">
        <f t="shared" si="14"/>
        <v/>
      </c>
      <c r="O229" s="31"/>
      <c r="P229" s="34" t="str">
        <f t="shared" si="15"/>
        <v/>
      </c>
      <c r="R229" t="s">
        <v>94</v>
      </c>
      <c r="S229" s="1" t="str">
        <f t="shared" si="17"/>
        <v/>
      </c>
      <c r="T229" s="1"/>
      <c r="U229" s="35" t="str">
        <f t="shared" si="16"/>
        <v/>
      </c>
    </row>
    <row r="230" spans="12:21" x14ac:dyDescent="0.25">
      <c r="L230" s="26">
        <v>227</v>
      </c>
      <c r="M230" t="s">
        <v>93</v>
      </c>
      <c r="N230" s="1" t="str">
        <f t="shared" si="14"/>
        <v/>
      </c>
      <c r="O230" s="31"/>
      <c r="P230" s="34" t="str">
        <f t="shared" si="15"/>
        <v/>
      </c>
      <c r="R230" t="s">
        <v>93</v>
      </c>
      <c r="S230" s="1" t="str">
        <f t="shared" si="17"/>
        <v/>
      </c>
      <c r="T230" s="1"/>
      <c r="U230" s="35" t="str">
        <f t="shared" si="16"/>
        <v/>
      </c>
    </row>
    <row r="231" spans="12:21" x14ac:dyDescent="0.25">
      <c r="L231" s="26">
        <v>228</v>
      </c>
      <c r="M231" t="s">
        <v>92</v>
      </c>
      <c r="N231" s="1" t="str">
        <f t="shared" si="14"/>
        <v/>
      </c>
      <c r="O231" s="31"/>
      <c r="P231" s="34" t="str">
        <f t="shared" si="15"/>
        <v/>
      </c>
      <c r="R231" t="s">
        <v>92</v>
      </c>
      <c r="S231" s="1" t="str">
        <f t="shared" si="17"/>
        <v/>
      </c>
      <c r="T231" s="1"/>
      <c r="U231" s="35" t="str">
        <f t="shared" si="16"/>
        <v/>
      </c>
    </row>
    <row r="232" spans="12:21" x14ac:dyDescent="0.25">
      <c r="L232" s="26">
        <v>229</v>
      </c>
      <c r="M232" t="s">
        <v>91</v>
      </c>
      <c r="N232" s="1" t="str">
        <f t="shared" si="14"/>
        <v/>
      </c>
      <c r="O232" s="31"/>
      <c r="P232" s="34" t="str">
        <f t="shared" si="15"/>
        <v/>
      </c>
      <c r="R232" t="s">
        <v>91</v>
      </c>
      <c r="S232" s="1" t="str">
        <f t="shared" si="17"/>
        <v/>
      </c>
      <c r="T232" s="1"/>
      <c r="U232" s="35" t="str">
        <f t="shared" si="16"/>
        <v/>
      </c>
    </row>
    <row r="233" spans="12:21" x14ac:dyDescent="0.25">
      <c r="L233" s="26">
        <v>230</v>
      </c>
      <c r="M233" t="s">
        <v>90</v>
      </c>
      <c r="N233" s="1" t="str">
        <f t="shared" si="14"/>
        <v/>
      </c>
      <c r="O233" s="31"/>
      <c r="P233" s="34" t="str">
        <f t="shared" si="15"/>
        <v/>
      </c>
      <c r="R233" t="s">
        <v>90</v>
      </c>
      <c r="S233" s="1" t="str">
        <f t="shared" si="17"/>
        <v/>
      </c>
      <c r="T233" s="1"/>
      <c r="U233" s="35" t="str">
        <f t="shared" si="16"/>
        <v/>
      </c>
    </row>
    <row r="234" spans="12:21" x14ac:dyDescent="0.25">
      <c r="L234" s="26">
        <v>231</v>
      </c>
      <c r="M234" t="s">
        <v>89</v>
      </c>
      <c r="N234" s="1" t="str">
        <f t="shared" si="14"/>
        <v/>
      </c>
      <c r="O234" s="31"/>
      <c r="P234" s="34" t="str">
        <f t="shared" si="15"/>
        <v/>
      </c>
      <c r="R234" t="s">
        <v>89</v>
      </c>
      <c r="S234" s="1" t="str">
        <f t="shared" si="17"/>
        <v/>
      </c>
      <c r="T234" s="1"/>
      <c r="U234" s="35" t="str">
        <f t="shared" si="16"/>
        <v/>
      </c>
    </row>
    <row r="235" spans="12:21" x14ac:dyDescent="0.25">
      <c r="L235" s="26">
        <v>232</v>
      </c>
      <c r="M235" t="s">
        <v>88</v>
      </c>
      <c r="N235" s="1" t="str">
        <f t="shared" si="14"/>
        <v/>
      </c>
      <c r="O235" s="31"/>
      <c r="P235" s="34" t="str">
        <f t="shared" si="15"/>
        <v/>
      </c>
      <c r="R235" t="s">
        <v>88</v>
      </c>
      <c r="S235" s="1" t="str">
        <f t="shared" si="17"/>
        <v/>
      </c>
      <c r="T235" s="1"/>
      <c r="U235" s="35" t="str">
        <f t="shared" si="16"/>
        <v/>
      </c>
    </row>
    <row r="236" spans="12:21" x14ac:dyDescent="0.25">
      <c r="L236" s="26">
        <v>233</v>
      </c>
      <c r="M236" t="s">
        <v>87</v>
      </c>
      <c r="N236" s="1" t="str">
        <f t="shared" si="14"/>
        <v/>
      </c>
      <c r="O236" s="31"/>
      <c r="P236" s="34" t="str">
        <f t="shared" si="15"/>
        <v/>
      </c>
      <c r="R236" t="s">
        <v>87</v>
      </c>
      <c r="S236" s="1" t="str">
        <f t="shared" si="17"/>
        <v/>
      </c>
      <c r="T236" s="1"/>
      <c r="U236" s="35" t="str">
        <f t="shared" si="16"/>
        <v/>
      </c>
    </row>
    <row r="237" spans="12:21" x14ac:dyDescent="0.25">
      <c r="L237" s="26">
        <v>234</v>
      </c>
      <c r="M237" t="s">
        <v>86</v>
      </c>
      <c r="N237" s="1" t="str">
        <f t="shared" si="14"/>
        <v/>
      </c>
      <c r="O237" s="31"/>
      <c r="P237" s="34" t="str">
        <f t="shared" si="15"/>
        <v/>
      </c>
      <c r="R237" t="s">
        <v>86</v>
      </c>
      <c r="S237" s="1" t="str">
        <f t="shared" si="17"/>
        <v/>
      </c>
      <c r="T237" s="1"/>
      <c r="U237" s="35" t="str">
        <f t="shared" si="16"/>
        <v/>
      </c>
    </row>
    <row r="238" spans="12:21" x14ac:dyDescent="0.25">
      <c r="L238" s="26">
        <v>235</v>
      </c>
      <c r="M238" t="s">
        <v>85</v>
      </c>
      <c r="N238" s="1" t="str">
        <f t="shared" si="14"/>
        <v/>
      </c>
      <c r="O238" s="31"/>
      <c r="P238" s="34" t="str">
        <f t="shared" si="15"/>
        <v/>
      </c>
      <c r="R238" t="s">
        <v>85</v>
      </c>
      <c r="S238" s="1" t="str">
        <f t="shared" si="17"/>
        <v/>
      </c>
      <c r="T238" s="1"/>
      <c r="U238" s="35" t="str">
        <f t="shared" si="16"/>
        <v/>
      </c>
    </row>
    <row r="239" spans="12:21" x14ac:dyDescent="0.25">
      <c r="L239" s="26">
        <v>236</v>
      </c>
      <c r="M239" t="s">
        <v>84</v>
      </c>
      <c r="N239" s="1" t="str">
        <f t="shared" si="14"/>
        <v/>
      </c>
      <c r="O239" s="31"/>
      <c r="P239" s="34" t="str">
        <f t="shared" si="15"/>
        <v/>
      </c>
      <c r="R239" t="s">
        <v>84</v>
      </c>
      <c r="S239" s="1" t="str">
        <f t="shared" si="17"/>
        <v/>
      </c>
      <c r="T239" s="1"/>
      <c r="U239" s="35" t="str">
        <f t="shared" si="16"/>
        <v/>
      </c>
    </row>
    <row r="240" spans="12:21" x14ac:dyDescent="0.25">
      <c r="L240" s="26">
        <v>237</v>
      </c>
      <c r="M240" t="s">
        <v>83</v>
      </c>
      <c r="N240" s="1" t="str">
        <f t="shared" si="14"/>
        <v/>
      </c>
      <c r="O240" s="31"/>
      <c r="P240" s="34" t="str">
        <f t="shared" si="15"/>
        <v/>
      </c>
      <c r="R240" t="s">
        <v>83</v>
      </c>
      <c r="S240" s="1" t="str">
        <f t="shared" si="17"/>
        <v/>
      </c>
      <c r="T240" s="1"/>
      <c r="U240" s="35" t="str">
        <f t="shared" si="16"/>
        <v/>
      </c>
    </row>
    <row r="241" spans="12:21" x14ac:dyDescent="0.25">
      <c r="L241" s="26">
        <v>238</v>
      </c>
      <c r="M241" t="s">
        <v>82</v>
      </c>
      <c r="N241" s="1" t="str">
        <f t="shared" si="14"/>
        <v/>
      </c>
      <c r="O241" s="31"/>
      <c r="P241" s="34" t="str">
        <f t="shared" si="15"/>
        <v/>
      </c>
      <c r="R241" t="s">
        <v>82</v>
      </c>
      <c r="S241" s="1" t="str">
        <f t="shared" si="17"/>
        <v/>
      </c>
      <c r="T241" s="1"/>
      <c r="U241" s="35" t="str">
        <f t="shared" si="16"/>
        <v/>
      </c>
    </row>
    <row r="242" spans="12:21" x14ac:dyDescent="0.25">
      <c r="L242" s="26">
        <v>239</v>
      </c>
      <c r="M242" t="s">
        <v>81</v>
      </c>
      <c r="N242" s="1" t="str">
        <f t="shared" si="14"/>
        <v/>
      </c>
      <c r="O242" s="31"/>
      <c r="P242" s="34" t="str">
        <f t="shared" si="15"/>
        <v/>
      </c>
      <c r="R242" t="s">
        <v>81</v>
      </c>
      <c r="S242" s="1" t="str">
        <f t="shared" si="17"/>
        <v/>
      </c>
      <c r="T242" s="1"/>
      <c r="U242" s="35" t="str">
        <f t="shared" si="16"/>
        <v/>
      </c>
    </row>
    <row r="243" spans="12:21" x14ac:dyDescent="0.25">
      <c r="L243" s="26">
        <v>240</v>
      </c>
      <c r="M243" t="s">
        <v>80</v>
      </c>
      <c r="N243" s="1" t="str">
        <f t="shared" si="14"/>
        <v/>
      </c>
      <c r="O243" s="31"/>
      <c r="P243" s="34" t="str">
        <f t="shared" si="15"/>
        <v/>
      </c>
      <c r="R243" t="s">
        <v>80</v>
      </c>
      <c r="S243" s="1" t="str">
        <f t="shared" si="17"/>
        <v/>
      </c>
      <c r="T243" s="1"/>
      <c r="U243" s="35" t="str">
        <f t="shared" si="16"/>
        <v/>
      </c>
    </row>
    <row r="244" spans="12:21" x14ac:dyDescent="0.25">
      <c r="L244" s="26">
        <v>241</v>
      </c>
      <c r="M244" t="s">
        <v>79</v>
      </c>
      <c r="N244" s="1" t="str">
        <f t="shared" si="14"/>
        <v/>
      </c>
      <c r="O244" s="31"/>
      <c r="P244" s="34" t="str">
        <f t="shared" si="15"/>
        <v/>
      </c>
      <c r="R244" t="s">
        <v>79</v>
      </c>
      <c r="S244" s="1" t="str">
        <f t="shared" si="17"/>
        <v/>
      </c>
      <c r="T244" s="1"/>
      <c r="U244" s="35" t="str">
        <f t="shared" si="16"/>
        <v/>
      </c>
    </row>
    <row r="245" spans="12:21" x14ac:dyDescent="0.25">
      <c r="L245" s="26">
        <v>242</v>
      </c>
      <c r="M245" t="s">
        <v>78</v>
      </c>
      <c r="N245" s="1" t="str">
        <f t="shared" si="14"/>
        <v/>
      </c>
      <c r="O245" s="31"/>
      <c r="P245" s="34" t="str">
        <f t="shared" si="15"/>
        <v/>
      </c>
      <c r="R245" t="s">
        <v>78</v>
      </c>
      <c r="S245" s="1" t="str">
        <f t="shared" si="17"/>
        <v/>
      </c>
      <c r="T245" s="1"/>
      <c r="U245" s="35" t="str">
        <f t="shared" si="16"/>
        <v/>
      </c>
    </row>
    <row r="246" spans="12:21" x14ac:dyDescent="0.25">
      <c r="L246" s="26">
        <v>243</v>
      </c>
      <c r="M246" t="s">
        <v>77</v>
      </c>
      <c r="N246" s="1" t="str">
        <f t="shared" si="14"/>
        <v/>
      </c>
      <c r="O246" s="31"/>
      <c r="P246" s="34" t="str">
        <f t="shared" si="15"/>
        <v/>
      </c>
      <c r="R246" t="s">
        <v>77</v>
      </c>
      <c r="S246" s="1" t="str">
        <f t="shared" si="17"/>
        <v/>
      </c>
      <c r="T246" s="1"/>
      <c r="U246" s="35" t="str">
        <f t="shared" si="16"/>
        <v/>
      </c>
    </row>
    <row r="247" spans="12:21" x14ac:dyDescent="0.25">
      <c r="L247" s="26">
        <v>244</v>
      </c>
      <c r="M247" t="s">
        <v>76</v>
      </c>
      <c r="N247" s="1" t="str">
        <f t="shared" si="14"/>
        <v/>
      </c>
      <c r="O247" s="31"/>
      <c r="P247" s="34" t="str">
        <f t="shared" si="15"/>
        <v/>
      </c>
      <c r="R247" t="s">
        <v>76</v>
      </c>
      <c r="S247" s="1" t="str">
        <f t="shared" si="17"/>
        <v/>
      </c>
      <c r="T247" s="1"/>
      <c r="U247" s="35" t="str">
        <f t="shared" si="16"/>
        <v/>
      </c>
    </row>
    <row r="248" spans="12:21" x14ac:dyDescent="0.25">
      <c r="L248" s="26">
        <v>245</v>
      </c>
      <c r="M248" t="s">
        <v>75</v>
      </c>
      <c r="N248" s="1" t="str">
        <f t="shared" si="14"/>
        <v/>
      </c>
      <c r="O248" s="31"/>
      <c r="P248" s="34" t="str">
        <f t="shared" si="15"/>
        <v/>
      </c>
      <c r="R248" t="s">
        <v>75</v>
      </c>
      <c r="S248" s="1" t="str">
        <f t="shared" si="17"/>
        <v/>
      </c>
      <c r="T248" s="1"/>
      <c r="U248" s="35" t="str">
        <f t="shared" si="16"/>
        <v/>
      </c>
    </row>
    <row r="249" spans="12:21" x14ac:dyDescent="0.25">
      <c r="L249" s="26">
        <v>246</v>
      </c>
      <c r="M249" t="s">
        <v>74</v>
      </c>
      <c r="N249" s="1" t="str">
        <f t="shared" si="14"/>
        <v/>
      </c>
      <c r="O249" s="31"/>
      <c r="P249" s="34" t="str">
        <f t="shared" si="15"/>
        <v/>
      </c>
      <c r="R249" t="s">
        <v>74</v>
      </c>
      <c r="S249" s="1" t="str">
        <f t="shared" si="17"/>
        <v/>
      </c>
      <c r="T249" s="1"/>
      <c r="U249" s="35" t="str">
        <f t="shared" si="16"/>
        <v/>
      </c>
    </row>
    <row r="250" spans="12:21" x14ac:dyDescent="0.25">
      <c r="L250" s="26">
        <v>247</v>
      </c>
      <c r="M250" t="s">
        <v>73</v>
      </c>
      <c r="N250" s="1" t="str">
        <f t="shared" si="14"/>
        <v/>
      </c>
      <c r="O250" s="31"/>
      <c r="P250" s="34" t="str">
        <f t="shared" si="15"/>
        <v/>
      </c>
      <c r="R250" t="s">
        <v>73</v>
      </c>
      <c r="S250" s="1" t="str">
        <f t="shared" si="17"/>
        <v/>
      </c>
      <c r="T250" s="1"/>
      <c r="U250" s="35" t="str">
        <f t="shared" si="16"/>
        <v/>
      </c>
    </row>
    <row r="251" spans="12:21" x14ac:dyDescent="0.25">
      <c r="L251" s="26">
        <v>248</v>
      </c>
      <c r="M251" t="s">
        <v>72</v>
      </c>
      <c r="N251" s="1" t="str">
        <f t="shared" si="14"/>
        <v/>
      </c>
      <c r="O251" s="31"/>
      <c r="P251" s="34" t="str">
        <f t="shared" si="15"/>
        <v/>
      </c>
      <c r="R251" t="s">
        <v>72</v>
      </c>
      <c r="S251" s="1" t="str">
        <f t="shared" si="17"/>
        <v/>
      </c>
      <c r="T251" s="1"/>
      <c r="U251" s="35" t="str">
        <f t="shared" si="16"/>
        <v/>
      </c>
    </row>
    <row r="252" spans="12:21" x14ac:dyDescent="0.25">
      <c r="L252" s="26">
        <v>249</v>
      </c>
      <c r="M252" t="s">
        <v>71</v>
      </c>
      <c r="N252" s="1" t="str">
        <f t="shared" si="14"/>
        <v/>
      </c>
      <c r="O252" s="31"/>
      <c r="P252" s="34" t="str">
        <f t="shared" si="15"/>
        <v/>
      </c>
      <c r="R252" t="s">
        <v>71</v>
      </c>
      <c r="S252" s="1" t="str">
        <f t="shared" si="17"/>
        <v/>
      </c>
      <c r="T252" s="1"/>
      <c r="U252" s="35" t="str">
        <f t="shared" si="16"/>
        <v/>
      </c>
    </row>
    <row r="253" spans="12:21" x14ac:dyDescent="0.25">
      <c r="L253" s="26">
        <v>250</v>
      </c>
      <c r="M253" t="s">
        <v>70</v>
      </c>
      <c r="N253" s="1" t="str">
        <f>IF(L253&gt;$I$2,"",F253/$D$3-1)</f>
        <v/>
      </c>
      <c r="O253" s="31"/>
      <c r="P253" s="34" t="str">
        <f t="shared" si="15"/>
        <v/>
      </c>
      <c r="R253" t="s">
        <v>70</v>
      </c>
      <c r="S253" s="1" t="str">
        <f>IF(L253&gt;$I$2,"",E253/$D$3-1)</f>
        <v/>
      </c>
      <c r="T253" s="1"/>
      <c r="U253" s="35" t="str">
        <f t="shared" si="16"/>
        <v/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66B6D-E47D-48C3-B802-FF0B32ABE5F6}">
  <dimension ref="A1:U253"/>
  <sheetViews>
    <sheetView workbookViewId="0"/>
  </sheetViews>
  <sheetFormatPr defaultRowHeight="16.5" x14ac:dyDescent="0.25"/>
  <sheetData>
    <row r="1" spans="1:21" x14ac:dyDescent="0.25">
      <c r="A1" s="2" t="str">
        <f>"cmoneylookup|"&amp;B1&amp;回測表!A8&amp;C1&amp;回測表!B8&amp;D1&amp;回測表!C8&amp;E1</f>
        <v>cmoneylookup|&lt;&lt;LKQbXHjQyC$VmN7^hIU0FLBkWHRMfHRZ2BDwHUWcFQGVRF7Z8D73XRQndMUIkCEvVAEV{GRQBB9VOBog40GJyFjAhAkQBAGniJ93dD9RWE80gAQMTFlrHFAFN4V0r5X8HHBAHRQnvMUIkCFJT&gt;&gt;20180326&lt;&lt;21}JyAAAsUmVpIQjuMEsC&gt;&gt;20180611&lt;&lt;21}JyAAAsUmV7MQIfP$NZ2V7z&gt;&gt;2478&lt;&lt;21}Jy6}vxC8^XB{$Pn0eR{EP6bg6kl{iLqGHFcMH0tm{Pd^aejv7yqeRDkeyWswTMYw1BlD2IaGnJBkjI2UUR}fP8n{}liOCDqsuV9v}UL}8HGBnXFl8PqtLYv3bulwkgV$VmN8^7N{8bRjr2FnYc8fGlRQvdITQ7CCFWMmZJL9EpRQj8MWM$CCfnJlBA0RbBAT74WRE323h3ktQz&gt;&gt;</v>
      </c>
      <c r="B1" s="2" t="s">
        <v>64</v>
      </c>
      <c r="C1" s="2" t="s">
        <v>7</v>
      </c>
      <c r="D1" s="2" t="s">
        <v>8</v>
      </c>
      <c r="E1" s="2" t="s">
        <v>24</v>
      </c>
      <c r="F1" s="2"/>
    </row>
    <row r="2" spans="1:21" x14ac:dyDescent="0.25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6" t="s">
        <v>14</v>
      </c>
      <c r="H2" s="3" t="s">
        <v>28</v>
      </c>
      <c r="I2" s="28">
        <f>COUNTA(A:A)-3</f>
        <v>52</v>
      </c>
      <c r="M2" t="s">
        <v>294</v>
      </c>
      <c r="N2" s="30">
        <f>MIN($N$4:$N$4000)</f>
        <v>7.8804347826089138E-3</v>
      </c>
      <c r="O2" s="37" t="s">
        <v>307</v>
      </c>
      <c r="P2" s="38">
        <v>1</v>
      </c>
      <c r="R2" t="s">
        <v>296</v>
      </c>
      <c r="S2" s="30">
        <f>MAX($S$4:$S$4000)</f>
        <v>3.389945652173914</v>
      </c>
      <c r="T2" s="37" t="s">
        <v>298</v>
      </c>
      <c r="U2" s="25">
        <v>1</v>
      </c>
    </row>
    <row r="3" spans="1:21" x14ac:dyDescent="0.25">
      <c r="A3" s="26">
        <v>20180326</v>
      </c>
      <c r="B3" s="26">
        <v>2478</v>
      </c>
      <c r="C3" s="26" t="s">
        <v>321</v>
      </c>
      <c r="D3" s="26">
        <v>36.799999999999997</v>
      </c>
      <c r="E3" s="26">
        <v>38.85</v>
      </c>
      <c r="F3" s="26">
        <v>36.799999999999997</v>
      </c>
      <c r="H3" s="3" t="s">
        <v>38</v>
      </c>
      <c r="I3" s="29">
        <f>IF($I$2&lt;5,"",D8/D3-1)</f>
        <v>8.9673913043478493E-2</v>
      </c>
      <c r="M3" t="s">
        <v>293</v>
      </c>
      <c r="N3">
        <f>IF(ISERROR(INDEX($A$4:$A$4000,MATCH($N$2,$N$4:$N$4000,0))),"",INDEX($A$4:$A$4000,MATCH($N$2,$N$4:$N$4000,0)))</f>
        <v>20180328</v>
      </c>
      <c r="O3" t="s">
        <v>293</v>
      </c>
      <c r="P3" s="25" t="str">
        <f>IF(ISERROR(INDEX($A$4:$A$4000,MATCH($P$2,$P$4:$P$4000,0))),"",INDEX($A$4:$A$4000,MATCH($P$2,$P$4:$P$4000,0)))</f>
        <v/>
      </c>
      <c r="R3" t="s">
        <v>293</v>
      </c>
      <c r="S3">
        <f>IF(ISERROR(INDEX($A$4:$A$4000,MATCH($S$2,$S$4:$S$4000,0))),"",INDEX($A$4:$A$4000,MATCH($S$2,$S$4:$S$4000,0)))</f>
        <v>20180611</v>
      </c>
      <c r="T3" t="s">
        <v>293</v>
      </c>
      <c r="U3" s="25">
        <f>IF(ISERROR(INDEX($A$4:$A$4000,MATCH($U$2,$U$4:$U$4000,0))),"",INDEX($A$4:$A$4000,MATCH($U$2,$U$4:$U$4000,0)))</f>
        <v>20180403</v>
      </c>
    </row>
    <row r="4" spans="1:21" x14ac:dyDescent="0.25">
      <c r="A4" s="26">
        <v>20180327</v>
      </c>
      <c r="B4" s="26">
        <v>2478</v>
      </c>
      <c r="C4" s="26" t="s">
        <v>321</v>
      </c>
      <c r="D4" s="26">
        <v>37.659999999999997</v>
      </c>
      <c r="E4" s="26">
        <v>38.17</v>
      </c>
      <c r="F4" s="26">
        <v>37.32</v>
      </c>
      <c r="H4" s="3" t="s">
        <v>29</v>
      </c>
      <c r="I4" s="29">
        <f>IF($I$2&lt;10,"",D13/D3-1)</f>
        <v>0.40353260869565233</v>
      </c>
      <c r="K4" t="s">
        <v>65</v>
      </c>
      <c r="L4" s="26">
        <v>1</v>
      </c>
      <c r="M4" t="s">
        <v>39</v>
      </c>
      <c r="N4" s="1">
        <f>IF(L4&gt;$I$2,"",F4/$D$3-1)</f>
        <v>1.4130434782608781E-2</v>
      </c>
      <c r="O4" s="31"/>
      <c r="P4" s="34" t="str">
        <f>IF(AND(L4&lt;=$I$2,N4&lt;= -0.1),1,"")</f>
        <v/>
      </c>
      <c r="Q4" t="s">
        <v>295</v>
      </c>
      <c r="R4" t="s">
        <v>39</v>
      </c>
      <c r="S4" s="1">
        <f>IF(L4&gt;$I$2,"",E4/$D$3-1)</f>
        <v>3.7228260869565322E-2</v>
      </c>
      <c r="T4" s="1"/>
      <c r="U4" s="35" t="str">
        <f>IF(AND(L4&lt;=$I$2,S4&gt;=0.2),1,"")</f>
        <v/>
      </c>
    </row>
    <row r="5" spans="1:21" x14ac:dyDescent="0.25">
      <c r="A5" s="26">
        <v>20180328</v>
      </c>
      <c r="B5" s="26">
        <v>2478</v>
      </c>
      <c r="C5" s="26" t="s">
        <v>321</v>
      </c>
      <c r="D5" s="26">
        <v>37.26</v>
      </c>
      <c r="E5" s="26">
        <v>37.659999999999997</v>
      </c>
      <c r="F5" s="26">
        <v>37.090000000000003</v>
      </c>
      <c r="H5" s="3" t="s">
        <v>31</v>
      </c>
      <c r="I5" s="29">
        <f>IF($I$2&lt;20,"",D23/D3-1)</f>
        <v>0.74972826086956545</v>
      </c>
      <c r="L5" s="26">
        <v>2</v>
      </c>
      <c r="M5" t="s">
        <v>40</v>
      </c>
      <c r="N5" s="1">
        <f t="shared" ref="N5:N68" si="0">IF(L5&gt;$I$2,"",F5/$D$3-1)</f>
        <v>7.8804347826089138E-3</v>
      </c>
      <c r="O5" s="31"/>
      <c r="P5" s="34" t="str">
        <f t="shared" ref="P5:P68" si="1">IF(AND(L5&lt;=$I$2,N5&lt;= -0.1),1,"")</f>
        <v/>
      </c>
      <c r="R5" t="s">
        <v>40</v>
      </c>
      <c r="S5" s="1">
        <f>IF(L5&gt;$I$2,"",E5/$D$3-1)</f>
        <v>2.3369565217391308E-2</v>
      </c>
      <c r="T5" s="1"/>
      <c r="U5" s="35" t="str">
        <f t="shared" ref="U5:U68" si="2">IF(AND(L5&lt;=$I$2,S5&gt;=0.2),1,"")</f>
        <v/>
      </c>
    </row>
    <row r="6" spans="1:21" x14ac:dyDescent="0.25">
      <c r="A6" s="26">
        <v>20180329</v>
      </c>
      <c r="B6" s="26">
        <v>2478</v>
      </c>
      <c r="C6" s="26" t="s">
        <v>321</v>
      </c>
      <c r="D6" s="26">
        <v>37.770000000000003</v>
      </c>
      <c r="E6" s="26">
        <v>38.11</v>
      </c>
      <c r="F6" s="26">
        <v>37.71</v>
      </c>
      <c r="L6" s="26">
        <v>3</v>
      </c>
      <c r="M6" t="s">
        <v>41</v>
      </c>
      <c r="N6" s="1">
        <f t="shared" si="0"/>
        <v>2.4728260869565366E-2</v>
      </c>
      <c r="O6" s="31"/>
      <c r="P6" s="34" t="str">
        <f t="shared" si="1"/>
        <v/>
      </c>
      <c r="R6" t="s">
        <v>41</v>
      </c>
      <c r="S6" s="1">
        <f>IF(L6&gt;$I$2,"",E6/$D$3-1)</f>
        <v>3.5597826086956497E-2</v>
      </c>
      <c r="T6" s="1"/>
      <c r="U6" s="35" t="str">
        <f t="shared" si="2"/>
        <v/>
      </c>
    </row>
    <row r="7" spans="1:21" x14ac:dyDescent="0.25">
      <c r="A7" s="26">
        <v>20180330</v>
      </c>
      <c r="B7" s="26">
        <v>2478</v>
      </c>
      <c r="C7" s="26" t="s">
        <v>321</v>
      </c>
      <c r="D7" s="26">
        <v>39.25</v>
      </c>
      <c r="E7" s="26">
        <v>40.22</v>
      </c>
      <c r="F7" s="26">
        <v>38.450000000000003</v>
      </c>
      <c r="L7" s="26">
        <v>4</v>
      </c>
      <c r="M7" t="s">
        <v>42</v>
      </c>
      <c r="N7" s="1">
        <f t="shared" si="0"/>
        <v>4.4836956521739246E-2</v>
      </c>
      <c r="O7" s="31"/>
      <c r="P7" s="34" t="str">
        <f t="shared" si="1"/>
        <v/>
      </c>
      <c r="R7" t="s">
        <v>42</v>
      </c>
      <c r="S7" s="1">
        <f t="shared" ref="S7:S11" si="3">IF(L7&gt;$I$2,"",E7/$D$3-1)</f>
        <v>9.2934782608695699E-2</v>
      </c>
      <c r="T7" s="1"/>
      <c r="U7" s="35" t="str">
        <f t="shared" si="2"/>
        <v/>
      </c>
    </row>
    <row r="8" spans="1:21" x14ac:dyDescent="0.25">
      <c r="A8" s="26">
        <v>20180331</v>
      </c>
      <c r="B8" s="26">
        <v>2478</v>
      </c>
      <c r="C8" s="26" t="s">
        <v>321</v>
      </c>
      <c r="D8" s="26">
        <v>40.1</v>
      </c>
      <c r="E8" s="26">
        <v>40.840000000000003</v>
      </c>
      <c r="F8" s="26">
        <v>39.82</v>
      </c>
      <c r="L8" s="26">
        <v>5</v>
      </c>
      <c r="M8" t="s">
        <v>37</v>
      </c>
      <c r="N8" s="1">
        <f t="shared" si="0"/>
        <v>8.2065217391304346E-2</v>
      </c>
      <c r="O8" s="31"/>
      <c r="P8" s="34" t="str">
        <f t="shared" si="1"/>
        <v/>
      </c>
      <c r="R8" t="s">
        <v>37</v>
      </c>
      <c r="S8" s="1">
        <f t="shared" si="3"/>
        <v>0.10978260869565237</v>
      </c>
      <c r="T8" s="1"/>
      <c r="U8" s="35" t="str">
        <f t="shared" si="2"/>
        <v/>
      </c>
    </row>
    <row r="9" spans="1:21" x14ac:dyDescent="0.25">
      <c r="A9" s="26">
        <v>20180402</v>
      </c>
      <c r="B9" s="26">
        <v>2478</v>
      </c>
      <c r="C9" s="26" t="s">
        <v>321</v>
      </c>
      <c r="D9" s="26">
        <v>40.840000000000003</v>
      </c>
      <c r="E9" s="26">
        <v>41.87</v>
      </c>
      <c r="F9" s="26">
        <v>40.39</v>
      </c>
      <c r="L9" s="26">
        <v>6</v>
      </c>
      <c r="M9" t="s">
        <v>43</v>
      </c>
      <c r="N9" s="1">
        <f t="shared" si="0"/>
        <v>9.7554347826086962E-2</v>
      </c>
      <c r="O9" s="31"/>
      <c r="P9" s="34" t="str">
        <f t="shared" si="1"/>
        <v/>
      </c>
      <c r="R9" t="s">
        <v>43</v>
      </c>
      <c r="S9" s="1">
        <f t="shared" si="3"/>
        <v>0.13777173913043472</v>
      </c>
      <c r="T9" s="1"/>
      <c r="U9" s="35" t="str">
        <f t="shared" si="2"/>
        <v/>
      </c>
    </row>
    <row r="10" spans="1:21" x14ac:dyDescent="0.25">
      <c r="A10" s="26">
        <v>20180403</v>
      </c>
      <c r="B10" s="26">
        <v>2478</v>
      </c>
      <c r="C10" s="26" t="s">
        <v>321</v>
      </c>
      <c r="D10" s="26">
        <v>44.2</v>
      </c>
      <c r="E10" s="26">
        <v>44.82</v>
      </c>
      <c r="F10" s="26">
        <v>40.619999999999997</v>
      </c>
      <c r="L10" s="26">
        <v>7</v>
      </c>
      <c r="M10" t="s">
        <v>44</v>
      </c>
      <c r="N10" s="1">
        <f t="shared" si="0"/>
        <v>0.10380434782608705</v>
      </c>
      <c r="O10" s="31"/>
      <c r="P10" s="34" t="str">
        <f t="shared" si="1"/>
        <v/>
      </c>
      <c r="R10" t="s">
        <v>44</v>
      </c>
      <c r="S10" s="1">
        <f t="shared" si="3"/>
        <v>0.2179347826086957</v>
      </c>
      <c r="T10" s="1"/>
      <c r="U10" s="35">
        <f t="shared" si="2"/>
        <v>1</v>
      </c>
    </row>
    <row r="11" spans="1:21" x14ac:dyDescent="0.25">
      <c r="A11" s="26">
        <v>20180409</v>
      </c>
      <c r="B11" s="26">
        <v>2478</v>
      </c>
      <c r="C11" s="26" t="s">
        <v>321</v>
      </c>
      <c r="D11" s="26">
        <v>48.58</v>
      </c>
      <c r="E11" s="26">
        <v>48.58</v>
      </c>
      <c r="F11" s="26">
        <v>45.34</v>
      </c>
      <c r="L11" s="26">
        <v>8</v>
      </c>
      <c r="M11" t="s">
        <v>45</v>
      </c>
      <c r="N11" s="1">
        <f t="shared" si="0"/>
        <v>0.23206521739130448</v>
      </c>
      <c r="O11" s="31"/>
      <c r="P11" s="34" t="str">
        <f t="shared" si="1"/>
        <v/>
      </c>
      <c r="R11" t="s">
        <v>45</v>
      </c>
      <c r="S11" s="1">
        <f t="shared" si="3"/>
        <v>0.32010869565217392</v>
      </c>
      <c r="T11" s="1"/>
      <c r="U11" s="35">
        <f t="shared" si="2"/>
        <v>1</v>
      </c>
    </row>
    <row r="12" spans="1:21" x14ac:dyDescent="0.25">
      <c r="A12" s="26">
        <v>20180410</v>
      </c>
      <c r="B12" s="26">
        <v>2478</v>
      </c>
      <c r="C12" s="26" t="s">
        <v>321</v>
      </c>
      <c r="D12" s="26">
        <v>46.99</v>
      </c>
      <c r="E12" s="26">
        <v>52.9</v>
      </c>
      <c r="F12" s="26">
        <v>46.76</v>
      </c>
      <c r="L12" s="26">
        <v>9</v>
      </c>
      <c r="M12" t="s">
        <v>46</v>
      </c>
      <c r="N12" s="1">
        <f>IF(L12&gt;$I$2,"",F12/$D$3-1)</f>
        <v>0.27065217391304341</v>
      </c>
      <c r="O12" s="31"/>
      <c r="P12" s="34" t="str">
        <f t="shared" si="1"/>
        <v/>
      </c>
      <c r="R12" t="s">
        <v>46</v>
      </c>
      <c r="S12" s="1">
        <f>IF(L12&gt;$I$2,"",E12/$D$3-1)</f>
        <v>0.4375</v>
      </c>
      <c r="T12" s="1"/>
      <c r="U12" s="35">
        <f t="shared" si="2"/>
        <v>1</v>
      </c>
    </row>
    <row r="13" spans="1:21" x14ac:dyDescent="0.25">
      <c r="A13" s="26">
        <v>20180411</v>
      </c>
      <c r="B13" s="26">
        <v>2478</v>
      </c>
      <c r="C13" s="26" t="s">
        <v>321</v>
      </c>
      <c r="D13" s="26">
        <v>51.65</v>
      </c>
      <c r="E13" s="26">
        <v>51.65</v>
      </c>
      <c r="F13" s="26">
        <v>48.35</v>
      </c>
      <c r="L13" s="26">
        <v>10</v>
      </c>
      <c r="M13" t="s">
        <v>47</v>
      </c>
      <c r="N13" s="1">
        <f t="shared" si="0"/>
        <v>0.31385869565217406</v>
      </c>
      <c r="O13" s="31"/>
      <c r="P13" s="34" t="str">
        <f t="shared" si="1"/>
        <v/>
      </c>
      <c r="R13" t="s">
        <v>47</v>
      </c>
      <c r="S13" s="1">
        <f>IF(L13&gt;$I$2,"",E13/$D$3-1)</f>
        <v>0.40353260869565233</v>
      </c>
      <c r="T13" s="1"/>
      <c r="U13" s="35">
        <f t="shared" si="2"/>
        <v>1</v>
      </c>
    </row>
    <row r="14" spans="1:21" x14ac:dyDescent="0.25">
      <c r="A14" s="26">
        <v>20180412</v>
      </c>
      <c r="B14" s="26">
        <v>2478</v>
      </c>
      <c r="C14" s="26" t="s">
        <v>321</v>
      </c>
      <c r="D14" s="26">
        <v>53.02</v>
      </c>
      <c r="E14" s="26">
        <v>54.15</v>
      </c>
      <c r="F14" s="26">
        <v>51.82</v>
      </c>
      <c r="L14" s="26">
        <v>11</v>
      </c>
      <c r="M14" t="s">
        <v>48</v>
      </c>
      <c r="N14" s="1">
        <f t="shared" si="0"/>
        <v>0.40815217391304359</v>
      </c>
      <c r="O14" s="31"/>
      <c r="P14" s="34" t="str">
        <f t="shared" si="1"/>
        <v/>
      </c>
      <c r="R14" t="s">
        <v>48</v>
      </c>
      <c r="S14" s="1">
        <f>IF(L14&gt;$I$2,"",E14/$D$3-1)</f>
        <v>0.47146739130434789</v>
      </c>
      <c r="T14" s="1"/>
      <c r="U14" s="35">
        <f t="shared" si="2"/>
        <v>1</v>
      </c>
    </row>
    <row r="15" spans="1:21" x14ac:dyDescent="0.25">
      <c r="A15" s="26">
        <v>20180413</v>
      </c>
      <c r="B15" s="26">
        <v>2478</v>
      </c>
      <c r="C15" s="26" t="s">
        <v>321</v>
      </c>
      <c r="D15" s="26">
        <v>56.88</v>
      </c>
      <c r="E15" s="26">
        <v>57.91</v>
      </c>
      <c r="F15" s="26">
        <v>53.58</v>
      </c>
      <c r="L15" s="26">
        <v>12</v>
      </c>
      <c r="M15" t="s">
        <v>49</v>
      </c>
      <c r="N15" s="1">
        <f t="shared" si="0"/>
        <v>0.45597826086956528</v>
      </c>
      <c r="O15" s="31"/>
      <c r="P15" s="34" t="str">
        <f t="shared" si="1"/>
        <v/>
      </c>
      <c r="R15" t="s">
        <v>49</v>
      </c>
      <c r="S15" s="1">
        <f t="shared" ref="S15:S18" si="4">IF(L15&gt;$I$2,"",E15/$D$3-1)</f>
        <v>0.57364130434782612</v>
      </c>
      <c r="T15" s="1"/>
      <c r="U15" s="35">
        <f t="shared" si="2"/>
        <v>1</v>
      </c>
    </row>
    <row r="16" spans="1:21" x14ac:dyDescent="0.25">
      <c r="A16" s="26">
        <v>20180416</v>
      </c>
      <c r="B16" s="26">
        <v>2478</v>
      </c>
      <c r="C16" s="26" t="s">
        <v>321</v>
      </c>
      <c r="D16" s="26">
        <v>62.23</v>
      </c>
      <c r="E16" s="26">
        <v>62.34</v>
      </c>
      <c r="F16" s="26">
        <v>56.09</v>
      </c>
      <c r="L16" s="26">
        <v>13</v>
      </c>
      <c r="M16" t="s">
        <v>50</v>
      </c>
      <c r="N16" s="1">
        <f t="shared" si="0"/>
        <v>0.52418478260869583</v>
      </c>
      <c r="O16" s="31"/>
      <c r="P16" s="34" t="str">
        <f t="shared" si="1"/>
        <v/>
      </c>
      <c r="R16" t="s">
        <v>50</v>
      </c>
      <c r="S16" s="1">
        <f t="shared" si="4"/>
        <v>0.69402173913043508</v>
      </c>
      <c r="T16" s="1"/>
      <c r="U16" s="35">
        <f t="shared" si="2"/>
        <v>1</v>
      </c>
    </row>
    <row r="17" spans="1:21" x14ac:dyDescent="0.25">
      <c r="A17" s="26">
        <v>20180417</v>
      </c>
      <c r="B17" s="26">
        <v>2478</v>
      </c>
      <c r="C17" s="26" t="s">
        <v>321</v>
      </c>
      <c r="D17" s="26">
        <v>56.03</v>
      </c>
      <c r="E17" s="26">
        <v>59.27</v>
      </c>
      <c r="F17" s="26">
        <v>56.03</v>
      </c>
      <c r="L17" s="26">
        <v>14</v>
      </c>
      <c r="M17" t="s">
        <v>51</v>
      </c>
      <c r="N17" s="1">
        <f t="shared" si="0"/>
        <v>0.52255434782608701</v>
      </c>
      <c r="O17" s="31"/>
      <c r="P17" s="34" t="str">
        <f t="shared" si="1"/>
        <v/>
      </c>
      <c r="R17" t="s">
        <v>51</v>
      </c>
      <c r="S17" s="1">
        <f t="shared" si="4"/>
        <v>0.61059782608695667</v>
      </c>
      <c r="T17" s="1"/>
      <c r="U17" s="35">
        <f t="shared" si="2"/>
        <v>1</v>
      </c>
    </row>
    <row r="18" spans="1:21" x14ac:dyDescent="0.25">
      <c r="A18" s="26">
        <v>20180418</v>
      </c>
      <c r="B18" s="26">
        <v>2478</v>
      </c>
      <c r="C18" s="26" t="s">
        <v>321</v>
      </c>
      <c r="D18" s="26">
        <v>55.58</v>
      </c>
      <c r="E18" s="26">
        <v>56.66</v>
      </c>
      <c r="F18" s="26">
        <v>50.74</v>
      </c>
      <c r="L18" s="26">
        <v>15</v>
      </c>
      <c r="M18" t="s">
        <v>52</v>
      </c>
      <c r="N18" s="1">
        <f t="shared" si="0"/>
        <v>0.37880434782608718</v>
      </c>
      <c r="O18" s="31"/>
      <c r="P18" s="34" t="str">
        <f t="shared" si="1"/>
        <v/>
      </c>
      <c r="R18" t="s">
        <v>52</v>
      </c>
      <c r="S18" s="1">
        <f t="shared" si="4"/>
        <v>0.53967391304347823</v>
      </c>
      <c r="T18" s="1"/>
      <c r="U18" s="35">
        <f t="shared" si="2"/>
        <v>1</v>
      </c>
    </row>
    <row r="19" spans="1:21" x14ac:dyDescent="0.25">
      <c r="A19" s="26">
        <v>20180419</v>
      </c>
      <c r="B19" s="26">
        <v>2478</v>
      </c>
      <c r="C19" s="26" t="s">
        <v>321</v>
      </c>
      <c r="D19" s="26">
        <v>61.09</v>
      </c>
      <c r="E19" s="26">
        <v>61.09</v>
      </c>
      <c r="F19" s="26">
        <v>56.54</v>
      </c>
      <c r="L19" s="26">
        <v>16</v>
      </c>
      <c r="M19" t="s">
        <v>53</v>
      </c>
      <c r="N19" s="1">
        <f t="shared" si="0"/>
        <v>0.53641304347826102</v>
      </c>
      <c r="O19" s="31"/>
      <c r="P19" s="34" t="str">
        <f t="shared" si="1"/>
        <v/>
      </c>
      <c r="R19" t="s">
        <v>53</v>
      </c>
      <c r="S19" s="1">
        <f>IF(L19&gt;$I$2,"",E19/$D$3-1)</f>
        <v>0.66005434782608718</v>
      </c>
      <c r="T19" s="1"/>
      <c r="U19" s="35">
        <f t="shared" si="2"/>
        <v>1</v>
      </c>
    </row>
    <row r="20" spans="1:21" x14ac:dyDescent="0.25">
      <c r="A20" s="26">
        <v>20180420</v>
      </c>
      <c r="B20" s="26">
        <v>2478</v>
      </c>
      <c r="C20" s="26" t="s">
        <v>321</v>
      </c>
      <c r="D20" s="26">
        <v>65.3</v>
      </c>
      <c r="E20" s="26">
        <v>66.44</v>
      </c>
      <c r="F20" s="26">
        <v>61.43</v>
      </c>
      <c r="L20" s="26">
        <v>17</v>
      </c>
      <c r="M20" t="s">
        <v>54</v>
      </c>
      <c r="N20" s="1">
        <f t="shared" si="0"/>
        <v>0.66929347826086971</v>
      </c>
      <c r="O20" s="31"/>
      <c r="P20" s="34" t="str">
        <f t="shared" si="1"/>
        <v/>
      </c>
      <c r="R20" t="s">
        <v>54</v>
      </c>
      <c r="S20" s="1">
        <f>IF(L20&gt;$I$2,"",E20/$D$3-1)</f>
        <v>0.80543478260869583</v>
      </c>
      <c r="T20" s="1"/>
      <c r="U20" s="35">
        <f t="shared" si="2"/>
        <v>1</v>
      </c>
    </row>
    <row r="21" spans="1:21" x14ac:dyDescent="0.25">
      <c r="A21" s="26">
        <v>20180423</v>
      </c>
      <c r="B21" s="26">
        <v>2478</v>
      </c>
      <c r="C21" s="26" t="s">
        <v>321</v>
      </c>
      <c r="D21" s="26">
        <v>69.63</v>
      </c>
      <c r="E21" s="26">
        <v>69.97</v>
      </c>
      <c r="F21" s="26">
        <v>66.900000000000006</v>
      </c>
      <c r="L21" s="26">
        <v>18</v>
      </c>
      <c r="M21" t="s">
        <v>55</v>
      </c>
      <c r="N21" s="1">
        <f t="shared" si="0"/>
        <v>0.81793478260869601</v>
      </c>
      <c r="O21" s="31"/>
      <c r="P21" s="34" t="str">
        <f t="shared" si="1"/>
        <v/>
      </c>
      <c r="R21" t="s">
        <v>55</v>
      </c>
      <c r="S21" s="1">
        <f>IF(L21&gt;$I$2,"",E21/$D$3-1)</f>
        <v>0.90135869565217397</v>
      </c>
      <c r="T21" s="1"/>
      <c r="U21" s="35">
        <f t="shared" si="2"/>
        <v>1</v>
      </c>
    </row>
    <row r="22" spans="1:21" x14ac:dyDescent="0.25">
      <c r="A22" s="26">
        <v>20180424</v>
      </c>
      <c r="B22" s="26">
        <v>2478</v>
      </c>
      <c r="C22" s="26" t="s">
        <v>321</v>
      </c>
      <c r="D22" s="26">
        <v>62.69</v>
      </c>
      <c r="E22" s="26">
        <v>70.540000000000006</v>
      </c>
      <c r="F22" s="26">
        <v>62.69</v>
      </c>
      <c r="L22" s="26">
        <v>19</v>
      </c>
      <c r="M22" t="s">
        <v>56</v>
      </c>
      <c r="N22" s="1">
        <f t="shared" si="0"/>
        <v>0.70353260869565215</v>
      </c>
      <c r="O22" s="31"/>
      <c r="P22" s="34" t="str">
        <f t="shared" si="1"/>
        <v/>
      </c>
      <c r="R22" t="s">
        <v>56</v>
      </c>
      <c r="S22" s="1">
        <f>IF(L22&gt;$I$2,"",E22/$D$3-1)</f>
        <v>0.91684782608695681</v>
      </c>
      <c r="T22" s="1"/>
      <c r="U22" s="35">
        <f t="shared" si="2"/>
        <v>1</v>
      </c>
    </row>
    <row r="23" spans="1:21" x14ac:dyDescent="0.25">
      <c r="A23" s="26">
        <v>20180425</v>
      </c>
      <c r="B23" s="26">
        <v>2478</v>
      </c>
      <c r="C23" s="26" t="s">
        <v>321</v>
      </c>
      <c r="D23" s="26">
        <v>64.39</v>
      </c>
      <c r="E23" s="26">
        <v>64.73</v>
      </c>
      <c r="F23" s="26">
        <v>60.07</v>
      </c>
      <c r="L23" s="26">
        <v>20</v>
      </c>
      <c r="M23" t="s">
        <v>57</v>
      </c>
      <c r="N23" s="1">
        <f t="shared" si="0"/>
        <v>0.63233695652173916</v>
      </c>
      <c r="O23" s="31"/>
      <c r="P23" s="34" t="str">
        <f t="shared" si="1"/>
        <v/>
      </c>
      <c r="R23" t="s">
        <v>57</v>
      </c>
      <c r="S23" s="1">
        <f>IF(L23&gt;$I$2,"",E23/$D$3-1)</f>
        <v>0.75896739130434798</v>
      </c>
      <c r="T23" s="1"/>
      <c r="U23" s="35">
        <f t="shared" si="2"/>
        <v>1</v>
      </c>
    </row>
    <row r="24" spans="1:21" x14ac:dyDescent="0.25">
      <c r="A24" s="26">
        <v>20180426</v>
      </c>
      <c r="B24" s="26">
        <v>2478</v>
      </c>
      <c r="C24" s="26" t="s">
        <v>321</v>
      </c>
      <c r="D24" s="26">
        <v>58.14</v>
      </c>
      <c r="E24" s="26">
        <v>65.87</v>
      </c>
      <c r="F24" s="26">
        <v>58.02</v>
      </c>
      <c r="L24" s="26">
        <v>21</v>
      </c>
      <c r="M24" t="s">
        <v>58</v>
      </c>
      <c r="N24" s="1">
        <f t="shared" si="0"/>
        <v>0.576630434782609</v>
      </c>
      <c r="O24" s="31"/>
      <c r="P24" s="34" t="str">
        <f t="shared" si="1"/>
        <v/>
      </c>
      <c r="R24" t="s">
        <v>58</v>
      </c>
      <c r="S24" s="1">
        <f t="shared" ref="S24:S87" si="5">IF(L24&gt;$I$2,"",E24/$D$3-1)</f>
        <v>0.78994565217391322</v>
      </c>
      <c r="T24" s="1"/>
      <c r="U24" s="35">
        <f t="shared" si="2"/>
        <v>1</v>
      </c>
    </row>
    <row r="25" spans="1:21" x14ac:dyDescent="0.25">
      <c r="A25" s="26">
        <v>20180427</v>
      </c>
      <c r="B25" s="26">
        <v>2478</v>
      </c>
      <c r="C25" s="26" t="s">
        <v>321</v>
      </c>
      <c r="D25" s="26">
        <v>63.94</v>
      </c>
      <c r="E25" s="26">
        <v>63.94</v>
      </c>
      <c r="F25" s="26">
        <v>60.64</v>
      </c>
      <c r="L25" s="26">
        <v>22</v>
      </c>
      <c r="M25" t="s">
        <v>59</v>
      </c>
      <c r="N25" s="1">
        <f t="shared" si="0"/>
        <v>0.64782608695652177</v>
      </c>
      <c r="O25" s="31"/>
      <c r="P25" s="34" t="str">
        <f t="shared" si="1"/>
        <v/>
      </c>
      <c r="R25" t="s">
        <v>59</v>
      </c>
      <c r="S25" s="1">
        <f t="shared" si="5"/>
        <v>0.73750000000000004</v>
      </c>
      <c r="T25" s="1"/>
      <c r="U25" s="35">
        <f t="shared" si="2"/>
        <v>1</v>
      </c>
    </row>
    <row r="26" spans="1:21" x14ac:dyDescent="0.25">
      <c r="A26" s="26">
        <v>20180430</v>
      </c>
      <c r="B26" s="26">
        <v>2478</v>
      </c>
      <c r="C26" s="26" t="s">
        <v>321</v>
      </c>
      <c r="D26" s="26">
        <v>61.09</v>
      </c>
      <c r="E26" s="26">
        <v>61.89</v>
      </c>
      <c r="F26" s="26">
        <v>58.59</v>
      </c>
      <c r="L26" s="26">
        <v>23</v>
      </c>
      <c r="M26" t="s">
        <v>60</v>
      </c>
      <c r="N26" s="1">
        <f t="shared" si="0"/>
        <v>0.59211956521739162</v>
      </c>
      <c r="O26" s="31"/>
      <c r="P26" s="34" t="str">
        <f t="shared" si="1"/>
        <v/>
      </c>
      <c r="R26" t="s">
        <v>60</v>
      </c>
      <c r="S26" s="1">
        <f t="shared" si="5"/>
        <v>0.68179347826086967</v>
      </c>
      <c r="T26" s="1"/>
      <c r="U26" s="35">
        <f t="shared" si="2"/>
        <v>1</v>
      </c>
    </row>
    <row r="27" spans="1:21" x14ac:dyDescent="0.25">
      <c r="A27" s="16">
        <v>20180502</v>
      </c>
      <c r="B27" s="16">
        <v>2478</v>
      </c>
      <c r="C27" s="16" t="s">
        <v>321</v>
      </c>
      <c r="D27" s="16">
        <v>62.46</v>
      </c>
      <c r="E27" s="16">
        <v>63.6</v>
      </c>
      <c r="F27" s="16">
        <v>60.87</v>
      </c>
      <c r="G27" s="9"/>
      <c r="H27" s="9"/>
      <c r="I27" s="9"/>
      <c r="J27" s="9"/>
      <c r="K27" s="9"/>
      <c r="L27" s="16">
        <v>24</v>
      </c>
      <c r="M27" s="9" t="s">
        <v>66</v>
      </c>
      <c r="N27" s="33">
        <f t="shared" si="0"/>
        <v>0.65407608695652186</v>
      </c>
      <c r="O27" s="32"/>
      <c r="P27" s="34" t="str">
        <f t="shared" si="1"/>
        <v/>
      </c>
      <c r="Q27" s="9"/>
      <c r="R27" s="9" t="s">
        <v>61</v>
      </c>
      <c r="S27" s="33">
        <f t="shared" si="5"/>
        <v>0.72826086956521752</v>
      </c>
      <c r="T27" s="33"/>
      <c r="U27" s="35">
        <f t="shared" si="2"/>
        <v>1</v>
      </c>
    </row>
    <row r="28" spans="1:21" x14ac:dyDescent="0.25">
      <c r="A28" s="26">
        <v>20180503</v>
      </c>
      <c r="B28" s="26">
        <v>2478</v>
      </c>
      <c r="C28" s="26" t="s">
        <v>321</v>
      </c>
      <c r="D28" s="26">
        <v>62.23</v>
      </c>
      <c r="E28" s="26">
        <v>63.03</v>
      </c>
      <c r="F28" s="26">
        <v>60.07</v>
      </c>
      <c r="L28" s="26">
        <v>25</v>
      </c>
      <c r="M28" t="s">
        <v>67</v>
      </c>
      <c r="N28" s="1">
        <f t="shared" si="0"/>
        <v>0.63233695652173916</v>
      </c>
      <c r="O28" s="31"/>
      <c r="P28" s="34" t="str">
        <f t="shared" si="1"/>
        <v/>
      </c>
      <c r="R28" t="s">
        <v>67</v>
      </c>
      <c r="S28" s="1">
        <f>IF(L28&gt;$I$2,"",E28/$D$3-1)</f>
        <v>0.7127717391304349</v>
      </c>
      <c r="T28" s="1"/>
      <c r="U28" s="35">
        <f t="shared" si="2"/>
        <v>1</v>
      </c>
    </row>
    <row r="29" spans="1:21" x14ac:dyDescent="0.25">
      <c r="A29" s="26">
        <v>20180504</v>
      </c>
      <c r="B29" s="26">
        <v>2478</v>
      </c>
      <c r="C29" s="26" t="s">
        <v>321</v>
      </c>
      <c r="D29" s="26">
        <v>63.82</v>
      </c>
      <c r="E29" s="26">
        <v>65.64</v>
      </c>
      <c r="F29" s="26">
        <v>61.32</v>
      </c>
      <c r="L29" s="26">
        <v>26</v>
      </c>
      <c r="M29" t="s">
        <v>68</v>
      </c>
      <c r="N29" s="1">
        <f t="shared" si="0"/>
        <v>0.66630434782608705</v>
      </c>
      <c r="O29" s="31"/>
      <c r="P29" s="34" t="str">
        <f t="shared" si="1"/>
        <v/>
      </c>
      <c r="R29" t="s">
        <v>68</v>
      </c>
      <c r="S29" s="1">
        <f t="shared" si="5"/>
        <v>0.78369565217391313</v>
      </c>
      <c r="T29" s="1"/>
      <c r="U29" s="35">
        <f t="shared" si="2"/>
        <v>1</v>
      </c>
    </row>
    <row r="30" spans="1:21" x14ac:dyDescent="0.25">
      <c r="A30" s="26">
        <v>20180507</v>
      </c>
      <c r="B30" s="26">
        <v>2478</v>
      </c>
      <c r="C30" s="26" t="s">
        <v>321</v>
      </c>
      <c r="D30" s="26">
        <v>70.19</v>
      </c>
      <c r="E30" s="26">
        <v>70.19</v>
      </c>
      <c r="F30" s="26">
        <v>66.900000000000006</v>
      </c>
      <c r="L30" s="26">
        <v>27</v>
      </c>
      <c r="M30" t="s">
        <v>69</v>
      </c>
      <c r="N30" s="1">
        <f t="shared" si="0"/>
        <v>0.81793478260869601</v>
      </c>
      <c r="O30" s="31"/>
      <c r="P30" s="34" t="str">
        <f t="shared" si="1"/>
        <v/>
      </c>
      <c r="R30" t="s">
        <v>69</v>
      </c>
      <c r="S30" s="1">
        <f t="shared" si="5"/>
        <v>0.90733695652173929</v>
      </c>
      <c r="T30" s="1"/>
      <c r="U30" s="35">
        <f t="shared" si="2"/>
        <v>1</v>
      </c>
    </row>
    <row r="31" spans="1:21" x14ac:dyDescent="0.25">
      <c r="A31" s="26">
        <v>20180508</v>
      </c>
      <c r="B31" s="26">
        <v>2478</v>
      </c>
      <c r="C31" s="26" t="s">
        <v>321</v>
      </c>
      <c r="D31" s="26">
        <v>72.13</v>
      </c>
      <c r="E31" s="26">
        <v>75.2</v>
      </c>
      <c r="F31" s="26">
        <v>68.03</v>
      </c>
      <c r="L31" s="26">
        <v>28</v>
      </c>
      <c r="M31" t="s">
        <v>292</v>
      </c>
      <c r="N31" s="1">
        <f t="shared" si="0"/>
        <v>0.84864130434782625</v>
      </c>
      <c r="O31" s="31"/>
      <c r="P31" s="34" t="str">
        <f t="shared" si="1"/>
        <v/>
      </c>
      <c r="R31" t="s">
        <v>292</v>
      </c>
      <c r="S31" s="1">
        <f t="shared" si="5"/>
        <v>1.0434782608695654</v>
      </c>
      <c r="T31" s="1"/>
      <c r="U31" s="35">
        <f t="shared" si="2"/>
        <v>1</v>
      </c>
    </row>
    <row r="32" spans="1:21" x14ac:dyDescent="0.25">
      <c r="A32" s="26">
        <v>20180509</v>
      </c>
      <c r="B32" s="26">
        <v>2478</v>
      </c>
      <c r="C32" s="26" t="s">
        <v>321</v>
      </c>
      <c r="D32" s="26">
        <v>79.3</v>
      </c>
      <c r="E32" s="26">
        <v>79.3</v>
      </c>
      <c r="F32" s="26">
        <v>72.239999999999995</v>
      </c>
      <c r="L32" s="26">
        <v>29</v>
      </c>
      <c r="M32" t="s">
        <v>291</v>
      </c>
      <c r="N32" s="1">
        <f t="shared" si="0"/>
        <v>0.96304347826086967</v>
      </c>
      <c r="O32" s="31"/>
      <c r="P32" s="34" t="str">
        <f t="shared" si="1"/>
        <v/>
      </c>
      <c r="R32" t="s">
        <v>291</v>
      </c>
      <c r="S32" s="1">
        <f t="shared" si="5"/>
        <v>1.1548913043478262</v>
      </c>
      <c r="T32" s="1"/>
      <c r="U32" s="35">
        <f t="shared" si="2"/>
        <v>1</v>
      </c>
    </row>
    <row r="33" spans="1:21" x14ac:dyDescent="0.25">
      <c r="A33" s="26">
        <v>20180510</v>
      </c>
      <c r="B33" s="26">
        <v>2478</v>
      </c>
      <c r="C33" s="26" t="s">
        <v>321</v>
      </c>
      <c r="D33" s="26">
        <v>87.15</v>
      </c>
      <c r="E33" s="26">
        <v>87.15</v>
      </c>
      <c r="F33" s="26">
        <v>81</v>
      </c>
      <c r="L33" s="26">
        <v>30</v>
      </c>
      <c r="M33" t="s">
        <v>290</v>
      </c>
      <c r="N33" s="1">
        <f t="shared" si="0"/>
        <v>1.2010869565217392</v>
      </c>
      <c r="O33" s="31"/>
      <c r="P33" s="34" t="str">
        <f t="shared" si="1"/>
        <v/>
      </c>
      <c r="R33" t="s">
        <v>290</v>
      </c>
      <c r="S33" s="1">
        <f t="shared" si="5"/>
        <v>1.3682065217391308</v>
      </c>
      <c r="T33" s="1"/>
      <c r="U33" s="35">
        <f t="shared" si="2"/>
        <v>1</v>
      </c>
    </row>
    <row r="34" spans="1:21" x14ac:dyDescent="0.25">
      <c r="A34" s="26">
        <v>20180511</v>
      </c>
      <c r="B34" s="26">
        <v>2478</v>
      </c>
      <c r="C34" s="26" t="s">
        <v>321</v>
      </c>
      <c r="D34" s="26">
        <v>83.73</v>
      </c>
      <c r="E34" s="26">
        <v>95.56</v>
      </c>
      <c r="F34" s="26">
        <v>81.8</v>
      </c>
      <c r="L34" s="26">
        <v>31</v>
      </c>
      <c r="M34" t="s">
        <v>289</v>
      </c>
      <c r="N34" s="1">
        <f t="shared" si="0"/>
        <v>1.222826086956522</v>
      </c>
      <c r="O34" s="31"/>
      <c r="P34" s="34" t="str">
        <f t="shared" si="1"/>
        <v/>
      </c>
      <c r="R34" t="s">
        <v>289</v>
      </c>
      <c r="S34" s="1">
        <f t="shared" si="5"/>
        <v>1.5967391304347829</v>
      </c>
      <c r="T34" s="1"/>
      <c r="U34" s="35">
        <f t="shared" si="2"/>
        <v>1</v>
      </c>
    </row>
    <row r="35" spans="1:21" x14ac:dyDescent="0.25">
      <c r="A35" s="26">
        <v>20180514</v>
      </c>
      <c r="B35" s="26">
        <v>2478</v>
      </c>
      <c r="C35" s="26" t="s">
        <v>321</v>
      </c>
      <c r="D35" s="26">
        <v>92.04</v>
      </c>
      <c r="E35" s="26">
        <v>92.04</v>
      </c>
      <c r="F35" s="26">
        <v>85.89</v>
      </c>
      <c r="L35" s="26">
        <v>32</v>
      </c>
      <c r="M35" t="s">
        <v>288</v>
      </c>
      <c r="N35" s="1">
        <f t="shared" si="0"/>
        <v>1.3339673913043479</v>
      </c>
      <c r="O35" s="31"/>
      <c r="P35" s="34" t="str">
        <f t="shared" si="1"/>
        <v/>
      </c>
      <c r="R35" t="s">
        <v>288</v>
      </c>
      <c r="S35" s="1">
        <f t="shared" si="5"/>
        <v>1.5010869565217395</v>
      </c>
      <c r="T35" s="1"/>
      <c r="U35" s="35">
        <f t="shared" si="2"/>
        <v>1</v>
      </c>
    </row>
    <row r="36" spans="1:21" x14ac:dyDescent="0.25">
      <c r="A36" s="26">
        <v>20180515</v>
      </c>
      <c r="B36" s="26">
        <v>2478</v>
      </c>
      <c r="C36" s="26" t="s">
        <v>321</v>
      </c>
      <c r="D36" s="26">
        <v>95.45</v>
      </c>
      <c r="E36" s="26">
        <v>99.66</v>
      </c>
      <c r="F36" s="26">
        <v>91.01</v>
      </c>
      <c r="L36" s="26">
        <v>33</v>
      </c>
      <c r="M36" t="s">
        <v>287</v>
      </c>
      <c r="N36" s="1">
        <f t="shared" si="0"/>
        <v>1.4730978260869567</v>
      </c>
      <c r="O36" s="31"/>
      <c r="P36" s="34" t="str">
        <f t="shared" si="1"/>
        <v/>
      </c>
      <c r="R36" t="s">
        <v>287</v>
      </c>
      <c r="S36" s="1">
        <f t="shared" si="5"/>
        <v>1.7081521739130436</v>
      </c>
      <c r="T36" s="1"/>
      <c r="U36" s="35">
        <f t="shared" si="2"/>
        <v>1</v>
      </c>
    </row>
    <row r="37" spans="1:21" x14ac:dyDescent="0.25">
      <c r="A37" s="26">
        <v>20180516</v>
      </c>
      <c r="B37" s="26">
        <v>2478</v>
      </c>
      <c r="C37" s="26" t="s">
        <v>321</v>
      </c>
      <c r="D37" s="26">
        <v>90.45</v>
      </c>
      <c r="E37" s="26">
        <v>93.29</v>
      </c>
      <c r="F37" s="26">
        <v>89.76</v>
      </c>
      <c r="L37" s="26">
        <v>34</v>
      </c>
      <c r="M37" t="s">
        <v>286</v>
      </c>
      <c r="N37" s="1">
        <f t="shared" si="0"/>
        <v>1.439130434782609</v>
      </c>
      <c r="O37" s="31"/>
      <c r="P37" s="34" t="str">
        <f t="shared" si="1"/>
        <v/>
      </c>
      <c r="R37" t="s">
        <v>286</v>
      </c>
      <c r="S37" s="1">
        <f t="shared" si="5"/>
        <v>1.5350543478260872</v>
      </c>
      <c r="T37" s="1"/>
      <c r="U37" s="35">
        <f t="shared" si="2"/>
        <v>1</v>
      </c>
    </row>
    <row r="38" spans="1:21" x14ac:dyDescent="0.25">
      <c r="A38" s="26">
        <v>20180517</v>
      </c>
      <c r="B38" s="26">
        <v>2478</v>
      </c>
      <c r="C38" s="26" t="s">
        <v>321</v>
      </c>
      <c r="D38" s="26">
        <v>81.459999999999994</v>
      </c>
      <c r="E38" s="26">
        <v>91.01</v>
      </c>
      <c r="F38" s="26">
        <v>81.459999999999994</v>
      </c>
      <c r="L38" s="26">
        <v>35</v>
      </c>
      <c r="M38" t="s">
        <v>285</v>
      </c>
      <c r="N38" s="1">
        <f t="shared" si="0"/>
        <v>1.213586956521739</v>
      </c>
      <c r="O38" s="31"/>
      <c r="P38" s="34" t="str">
        <f t="shared" si="1"/>
        <v/>
      </c>
      <c r="R38" t="s">
        <v>285</v>
      </c>
      <c r="S38" s="1">
        <f t="shared" si="5"/>
        <v>1.4730978260869567</v>
      </c>
      <c r="T38" s="1"/>
      <c r="U38" s="35">
        <f t="shared" si="2"/>
        <v>1</v>
      </c>
    </row>
    <row r="39" spans="1:21" x14ac:dyDescent="0.25">
      <c r="A39" s="26">
        <v>20180518</v>
      </c>
      <c r="B39" s="26">
        <v>2478</v>
      </c>
      <c r="C39" s="26" t="s">
        <v>321</v>
      </c>
      <c r="D39" s="26">
        <v>85.33</v>
      </c>
      <c r="E39" s="26">
        <v>86.46</v>
      </c>
      <c r="F39" s="26">
        <v>79.98</v>
      </c>
      <c r="L39" s="26">
        <v>36</v>
      </c>
      <c r="M39" t="s">
        <v>284</v>
      </c>
      <c r="N39" s="1">
        <f t="shared" si="0"/>
        <v>1.1733695652173917</v>
      </c>
      <c r="O39" s="31"/>
      <c r="P39" s="34" t="str">
        <f t="shared" si="1"/>
        <v/>
      </c>
      <c r="R39" t="s">
        <v>284</v>
      </c>
      <c r="S39" s="1">
        <f t="shared" si="5"/>
        <v>1.3494565217391306</v>
      </c>
      <c r="T39" s="1"/>
      <c r="U39" s="35">
        <f t="shared" si="2"/>
        <v>1</v>
      </c>
    </row>
    <row r="40" spans="1:21" x14ac:dyDescent="0.25">
      <c r="A40" s="26">
        <v>20180521</v>
      </c>
      <c r="B40" s="26">
        <v>2478</v>
      </c>
      <c r="C40" s="26" t="s">
        <v>321</v>
      </c>
      <c r="D40" s="26">
        <v>93.86</v>
      </c>
      <c r="E40" s="26">
        <v>93.86</v>
      </c>
      <c r="F40" s="26">
        <v>87.26</v>
      </c>
      <c r="L40" s="26">
        <v>37</v>
      </c>
      <c r="M40" t="s">
        <v>283</v>
      </c>
      <c r="N40" s="1">
        <f t="shared" si="0"/>
        <v>1.3711956521739133</v>
      </c>
      <c r="O40" s="31"/>
      <c r="P40" s="34" t="str">
        <f t="shared" si="1"/>
        <v/>
      </c>
      <c r="R40" t="s">
        <v>283</v>
      </c>
      <c r="S40" s="1">
        <f t="shared" si="5"/>
        <v>1.5505434782608698</v>
      </c>
      <c r="T40" s="1"/>
      <c r="U40" s="35">
        <f t="shared" si="2"/>
        <v>1</v>
      </c>
    </row>
    <row r="41" spans="1:21" x14ac:dyDescent="0.25">
      <c r="A41" s="26">
        <v>20180522</v>
      </c>
      <c r="B41" s="26">
        <v>2478</v>
      </c>
      <c r="C41" s="26" t="s">
        <v>321</v>
      </c>
      <c r="D41" s="26">
        <v>97.95</v>
      </c>
      <c r="E41" s="26">
        <v>100.68</v>
      </c>
      <c r="F41" s="26">
        <v>94.31</v>
      </c>
      <c r="L41" s="26">
        <v>38</v>
      </c>
      <c r="M41" t="s">
        <v>282</v>
      </c>
      <c r="N41" s="1">
        <f t="shared" si="0"/>
        <v>1.5627717391304352</v>
      </c>
      <c r="O41" s="31"/>
      <c r="P41" s="34" t="str">
        <f t="shared" si="1"/>
        <v/>
      </c>
      <c r="R41" t="s">
        <v>282</v>
      </c>
      <c r="S41" s="1">
        <f t="shared" si="5"/>
        <v>1.7358695652173917</v>
      </c>
      <c r="T41" s="1"/>
      <c r="U41" s="35">
        <f t="shared" si="2"/>
        <v>1</v>
      </c>
    </row>
    <row r="42" spans="1:21" x14ac:dyDescent="0.25">
      <c r="A42" s="26">
        <v>20180523</v>
      </c>
      <c r="B42" s="26">
        <v>2478</v>
      </c>
      <c r="C42" s="26" t="s">
        <v>321</v>
      </c>
      <c r="D42" s="26">
        <v>97.5</v>
      </c>
      <c r="E42" s="26">
        <v>100</v>
      </c>
      <c r="F42" s="26">
        <v>91.01</v>
      </c>
      <c r="L42" s="26">
        <v>39</v>
      </c>
      <c r="M42" t="s">
        <v>281</v>
      </c>
      <c r="N42" s="1">
        <f t="shared" si="0"/>
        <v>1.4730978260869567</v>
      </c>
      <c r="O42" s="31"/>
      <c r="P42" s="34" t="str">
        <f t="shared" si="1"/>
        <v/>
      </c>
      <c r="R42" t="s">
        <v>281</v>
      </c>
      <c r="S42" s="1">
        <f t="shared" si="5"/>
        <v>1.7173913043478262</v>
      </c>
      <c r="T42" s="1"/>
      <c r="U42" s="35">
        <f t="shared" si="2"/>
        <v>1</v>
      </c>
    </row>
    <row r="43" spans="1:21" x14ac:dyDescent="0.25">
      <c r="A43" s="26">
        <v>20180524</v>
      </c>
      <c r="B43" s="26">
        <v>2478</v>
      </c>
      <c r="C43" s="26" t="s">
        <v>321</v>
      </c>
      <c r="D43" s="26">
        <v>102.39</v>
      </c>
      <c r="E43" s="26">
        <v>104.67</v>
      </c>
      <c r="F43" s="26">
        <v>94.43</v>
      </c>
      <c r="L43" s="26">
        <v>40</v>
      </c>
      <c r="M43" t="s">
        <v>280</v>
      </c>
      <c r="N43" s="1">
        <f t="shared" si="0"/>
        <v>1.5660326086956524</v>
      </c>
      <c r="O43" s="31"/>
      <c r="P43" s="34" t="str">
        <f t="shared" si="1"/>
        <v/>
      </c>
      <c r="R43" t="s">
        <v>280</v>
      </c>
      <c r="S43" s="1">
        <f t="shared" si="5"/>
        <v>1.84429347826087</v>
      </c>
      <c r="T43" s="1"/>
      <c r="U43" s="35">
        <f t="shared" si="2"/>
        <v>1</v>
      </c>
    </row>
    <row r="44" spans="1:21" x14ac:dyDescent="0.25">
      <c r="A44" s="26">
        <v>20180525</v>
      </c>
      <c r="B44" s="26">
        <v>2478</v>
      </c>
      <c r="C44" s="26" t="s">
        <v>321</v>
      </c>
      <c r="D44" s="26">
        <v>110.35</v>
      </c>
      <c r="E44" s="26">
        <v>112.52</v>
      </c>
      <c r="F44" s="26">
        <v>100.34</v>
      </c>
      <c r="L44" s="26">
        <v>41</v>
      </c>
      <c r="M44" t="s">
        <v>279</v>
      </c>
      <c r="N44" s="1">
        <f t="shared" si="0"/>
        <v>1.7266304347826091</v>
      </c>
      <c r="O44" s="31"/>
      <c r="P44" s="34" t="str">
        <f t="shared" si="1"/>
        <v/>
      </c>
      <c r="R44" t="s">
        <v>279</v>
      </c>
      <c r="S44" s="1">
        <f t="shared" si="5"/>
        <v>2.0576086956521742</v>
      </c>
      <c r="T44" s="1"/>
      <c r="U44" s="35">
        <f t="shared" si="2"/>
        <v>1</v>
      </c>
    </row>
    <row r="45" spans="1:21" x14ac:dyDescent="0.25">
      <c r="A45" s="26">
        <v>20180528</v>
      </c>
      <c r="B45" s="26">
        <v>2478</v>
      </c>
      <c r="C45" s="26" t="s">
        <v>321</v>
      </c>
      <c r="D45" s="26">
        <v>121.16</v>
      </c>
      <c r="E45" s="26">
        <v>121.16</v>
      </c>
      <c r="F45" s="26">
        <v>113.2</v>
      </c>
      <c r="L45" s="26">
        <v>42</v>
      </c>
      <c r="M45" t="s">
        <v>278</v>
      </c>
      <c r="N45" s="1">
        <f t="shared" si="0"/>
        <v>2.0760869565217392</v>
      </c>
      <c r="O45" s="31"/>
      <c r="P45" s="34" t="str">
        <f t="shared" si="1"/>
        <v/>
      </c>
      <c r="R45" t="s">
        <v>278</v>
      </c>
      <c r="S45" s="1">
        <f t="shared" si="5"/>
        <v>2.2923913043478263</v>
      </c>
      <c r="T45" s="1"/>
      <c r="U45" s="35">
        <f t="shared" si="2"/>
        <v>1</v>
      </c>
    </row>
    <row r="46" spans="1:21" x14ac:dyDescent="0.25">
      <c r="A46" s="26">
        <v>20180529</v>
      </c>
      <c r="B46" s="26">
        <v>2478</v>
      </c>
      <c r="C46" s="26" t="s">
        <v>321</v>
      </c>
      <c r="D46" s="26">
        <v>133.11000000000001</v>
      </c>
      <c r="E46" s="26">
        <v>133.11000000000001</v>
      </c>
      <c r="F46" s="26">
        <v>117.18</v>
      </c>
      <c r="L46" s="26">
        <v>43</v>
      </c>
      <c r="M46" t="s">
        <v>277</v>
      </c>
      <c r="N46" s="1">
        <f t="shared" si="0"/>
        <v>2.1842391304347832</v>
      </c>
      <c r="O46" s="31"/>
      <c r="P46" s="34" t="str">
        <f t="shared" si="1"/>
        <v/>
      </c>
      <c r="R46" t="s">
        <v>277</v>
      </c>
      <c r="S46" s="1">
        <f t="shared" si="5"/>
        <v>2.6171195652173918</v>
      </c>
      <c r="T46" s="1"/>
      <c r="U46" s="35">
        <f t="shared" si="2"/>
        <v>1</v>
      </c>
    </row>
    <row r="47" spans="1:21" x14ac:dyDescent="0.25">
      <c r="A47" s="26">
        <v>20180530</v>
      </c>
      <c r="B47" s="26">
        <v>2478</v>
      </c>
      <c r="C47" s="26" t="s">
        <v>321</v>
      </c>
      <c r="D47" s="26">
        <v>131.4</v>
      </c>
      <c r="E47" s="26">
        <v>135.94999999999999</v>
      </c>
      <c r="F47" s="26">
        <v>125.14</v>
      </c>
      <c r="L47" s="26">
        <v>44</v>
      </c>
      <c r="M47" t="s">
        <v>276</v>
      </c>
      <c r="N47" s="1">
        <f t="shared" si="0"/>
        <v>2.4005434782608699</v>
      </c>
      <c r="O47" s="31"/>
      <c r="P47" s="34" t="str">
        <f t="shared" si="1"/>
        <v/>
      </c>
      <c r="R47" t="s">
        <v>276</v>
      </c>
      <c r="S47" s="1">
        <f t="shared" si="5"/>
        <v>2.6942934782608696</v>
      </c>
      <c r="T47" s="1"/>
      <c r="U47" s="35">
        <f t="shared" si="2"/>
        <v>1</v>
      </c>
    </row>
    <row r="48" spans="1:21" x14ac:dyDescent="0.25">
      <c r="A48" s="26">
        <v>20180531</v>
      </c>
      <c r="B48" s="26">
        <v>2478</v>
      </c>
      <c r="C48" s="26" t="s">
        <v>321</v>
      </c>
      <c r="D48" s="26">
        <v>120.59</v>
      </c>
      <c r="E48" s="26">
        <v>139.37</v>
      </c>
      <c r="F48" s="26">
        <v>119.46</v>
      </c>
      <c r="L48" s="26">
        <v>45</v>
      </c>
      <c r="M48" t="s">
        <v>275</v>
      </c>
      <c r="N48" s="1">
        <f t="shared" si="0"/>
        <v>2.2461956521739133</v>
      </c>
      <c r="O48" s="31"/>
      <c r="P48" s="34" t="str">
        <f t="shared" si="1"/>
        <v/>
      </c>
      <c r="R48" t="s">
        <v>275</v>
      </c>
      <c r="S48" s="1">
        <f t="shared" si="5"/>
        <v>2.7872282608695658</v>
      </c>
      <c r="T48" s="1"/>
      <c r="U48" s="35">
        <f t="shared" si="2"/>
        <v>1</v>
      </c>
    </row>
    <row r="49" spans="1:21" x14ac:dyDescent="0.25">
      <c r="A49" s="26">
        <v>20180601</v>
      </c>
      <c r="B49" s="26">
        <v>2478</v>
      </c>
      <c r="C49" s="26" t="s">
        <v>321</v>
      </c>
      <c r="D49" s="26">
        <v>122.87</v>
      </c>
      <c r="E49" s="26">
        <v>124.58</v>
      </c>
      <c r="F49" s="26">
        <v>114.34</v>
      </c>
      <c r="L49" s="26">
        <v>46</v>
      </c>
      <c r="M49" t="s">
        <v>274</v>
      </c>
      <c r="N49" s="1">
        <f t="shared" si="0"/>
        <v>2.1070652173913045</v>
      </c>
      <c r="O49" s="31"/>
      <c r="P49" s="34" t="str">
        <f t="shared" si="1"/>
        <v/>
      </c>
      <c r="R49" t="s">
        <v>274</v>
      </c>
      <c r="S49" s="1">
        <f t="shared" si="5"/>
        <v>2.385326086956522</v>
      </c>
      <c r="T49" s="1"/>
      <c r="U49" s="35">
        <f t="shared" si="2"/>
        <v>1</v>
      </c>
    </row>
    <row r="50" spans="1:21" x14ac:dyDescent="0.25">
      <c r="A50" s="26">
        <v>20180604</v>
      </c>
      <c r="B50" s="26">
        <v>2478</v>
      </c>
      <c r="C50" s="26" t="s">
        <v>321</v>
      </c>
      <c r="D50" s="26">
        <v>129.69999999999999</v>
      </c>
      <c r="E50" s="26">
        <v>131.97</v>
      </c>
      <c r="F50" s="26">
        <v>126.28</v>
      </c>
      <c r="L50" s="26">
        <v>47</v>
      </c>
      <c r="M50" t="s">
        <v>273</v>
      </c>
      <c r="N50" s="1">
        <f t="shared" si="0"/>
        <v>2.4315217391304351</v>
      </c>
      <c r="O50" s="31"/>
      <c r="P50" s="34" t="str">
        <f t="shared" si="1"/>
        <v/>
      </c>
      <c r="R50" t="s">
        <v>273</v>
      </c>
      <c r="S50" s="1">
        <f t="shared" si="5"/>
        <v>2.5861413043478265</v>
      </c>
      <c r="T50" s="1"/>
      <c r="U50" s="35">
        <f t="shared" si="2"/>
        <v>1</v>
      </c>
    </row>
    <row r="51" spans="1:21" x14ac:dyDescent="0.25">
      <c r="A51" s="26">
        <v>20180605</v>
      </c>
      <c r="B51" s="26">
        <v>2478</v>
      </c>
      <c r="C51" s="26" t="s">
        <v>321</v>
      </c>
      <c r="D51" s="26">
        <v>123.44</v>
      </c>
      <c r="E51" s="26">
        <v>130.83000000000001</v>
      </c>
      <c r="F51" s="26">
        <v>120.02</v>
      </c>
      <c r="L51" s="26">
        <v>48</v>
      </c>
      <c r="M51" t="s">
        <v>272</v>
      </c>
      <c r="N51" s="1">
        <f t="shared" si="0"/>
        <v>2.2614130434782611</v>
      </c>
      <c r="O51" s="31"/>
      <c r="P51" s="34" t="str">
        <f t="shared" si="1"/>
        <v/>
      </c>
      <c r="R51" t="s">
        <v>272</v>
      </c>
      <c r="S51" s="1">
        <f t="shared" si="5"/>
        <v>2.5551630434782613</v>
      </c>
      <c r="T51" s="1"/>
      <c r="U51" s="35">
        <f t="shared" si="2"/>
        <v>1</v>
      </c>
    </row>
    <row r="52" spans="1:21" x14ac:dyDescent="0.25">
      <c r="A52" s="26">
        <v>20180606</v>
      </c>
      <c r="B52" s="26">
        <v>2478</v>
      </c>
      <c r="C52" s="26" t="s">
        <v>321</v>
      </c>
      <c r="D52" s="26">
        <v>135.38</v>
      </c>
      <c r="E52" s="26">
        <v>135.38</v>
      </c>
      <c r="F52" s="26">
        <v>126.85</v>
      </c>
      <c r="L52" s="26">
        <v>49</v>
      </c>
      <c r="M52" t="s">
        <v>271</v>
      </c>
      <c r="N52" s="1">
        <f t="shared" si="0"/>
        <v>2.4470108695652173</v>
      </c>
      <c r="O52" s="31"/>
      <c r="P52" s="34" t="str">
        <f t="shared" si="1"/>
        <v/>
      </c>
      <c r="R52" t="s">
        <v>271</v>
      </c>
      <c r="S52" s="1">
        <f t="shared" si="5"/>
        <v>2.678804347826087</v>
      </c>
      <c r="T52" s="1"/>
      <c r="U52" s="35">
        <f t="shared" si="2"/>
        <v>1</v>
      </c>
    </row>
    <row r="53" spans="1:21" x14ac:dyDescent="0.25">
      <c r="A53" s="26">
        <v>20180607</v>
      </c>
      <c r="B53" s="26">
        <v>2478</v>
      </c>
      <c r="C53" s="26" t="s">
        <v>321</v>
      </c>
      <c r="D53" s="26">
        <v>148.47</v>
      </c>
      <c r="E53" s="26">
        <v>148.47</v>
      </c>
      <c r="F53" s="26">
        <v>138.22999999999999</v>
      </c>
      <c r="L53" s="26">
        <v>50</v>
      </c>
      <c r="M53" t="s">
        <v>270</v>
      </c>
      <c r="N53" s="1">
        <f t="shared" si="0"/>
        <v>2.7562500000000001</v>
      </c>
      <c r="O53" s="31"/>
      <c r="P53" s="34" t="str">
        <f t="shared" si="1"/>
        <v/>
      </c>
      <c r="R53" t="s">
        <v>270</v>
      </c>
      <c r="S53" s="1">
        <f t="shared" si="5"/>
        <v>3.0345108695652181</v>
      </c>
      <c r="T53" s="1"/>
      <c r="U53" s="35">
        <f t="shared" si="2"/>
        <v>1</v>
      </c>
    </row>
    <row r="54" spans="1:21" x14ac:dyDescent="0.25">
      <c r="A54" s="26">
        <v>20180608</v>
      </c>
      <c r="B54" s="26">
        <v>2478</v>
      </c>
      <c r="C54" s="26" t="s">
        <v>321</v>
      </c>
      <c r="D54" s="26">
        <v>147.33000000000001</v>
      </c>
      <c r="E54" s="26">
        <v>151.31</v>
      </c>
      <c r="F54" s="26">
        <v>142.21</v>
      </c>
      <c r="L54" s="26">
        <v>51</v>
      </c>
      <c r="M54" t="s">
        <v>269</v>
      </c>
      <c r="N54" s="1">
        <f t="shared" si="0"/>
        <v>2.8644021739130441</v>
      </c>
      <c r="O54" s="31"/>
      <c r="P54" s="34" t="str">
        <f t="shared" si="1"/>
        <v/>
      </c>
      <c r="R54" t="s">
        <v>269</v>
      </c>
      <c r="S54" s="1">
        <f t="shared" si="5"/>
        <v>3.1116847826086964</v>
      </c>
      <c r="T54" s="1"/>
      <c r="U54" s="35">
        <f t="shared" si="2"/>
        <v>1</v>
      </c>
    </row>
    <row r="55" spans="1:21" x14ac:dyDescent="0.25">
      <c r="A55" s="26">
        <v>20180611</v>
      </c>
      <c r="B55" s="26">
        <v>2478</v>
      </c>
      <c r="C55" s="26" t="s">
        <v>321</v>
      </c>
      <c r="D55" s="26">
        <v>161.55000000000001</v>
      </c>
      <c r="E55" s="26">
        <v>161.55000000000001</v>
      </c>
      <c r="F55" s="26">
        <v>147.33000000000001</v>
      </c>
      <c r="L55" s="26">
        <v>52</v>
      </c>
      <c r="M55" t="s">
        <v>268</v>
      </c>
      <c r="N55" s="1">
        <f t="shared" si="0"/>
        <v>3.0035326086956529</v>
      </c>
      <c r="O55" s="31"/>
      <c r="P55" s="34" t="str">
        <f t="shared" si="1"/>
        <v/>
      </c>
      <c r="R55" t="s">
        <v>268</v>
      </c>
      <c r="S55" s="1">
        <f t="shared" si="5"/>
        <v>3.389945652173914</v>
      </c>
      <c r="T55" s="1"/>
      <c r="U55" s="35">
        <f t="shared" si="2"/>
        <v>1</v>
      </c>
    </row>
    <row r="56" spans="1:21" x14ac:dyDescent="0.25">
      <c r="A56" s="26"/>
      <c r="B56" s="26"/>
      <c r="C56" s="26"/>
      <c r="D56" s="26"/>
      <c r="E56" s="26"/>
      <c r="F56" s="26"/>
      <c r="L56" s="26">
        <v>53</v>
      </c>
      <c r="M56" t="s">
        <v>267</v>
      </c>
      <c r="N56" s="1" t="str">
        <f t="shared" si="0"/>
        <v/>
      </c>
      <c r="O56" s="31"/>
      <c r="P56" s="34" t="str">
        <f t="shared" si="1"/>
        <v/>
      </c>
      <c r="R56" t="s">
        <v>267</v>
      </c>
      <c r="S56" s="1" t="str">
        <f t="shared" si="5"/>
        <v/>
      </c>
      <c r="T56" s="1"/>
      <c r="U56" s="35" t="str">
        <f t="shared" si="2"/>
        <v/>
      </c>
    </row>
    <row r="57" spans="1:21" x14ac:dyDescent="0.25">
      <c r="A57" s="26"/>
      <c r="B57" s="26"/>
      <c r="C57" s="26"/>
      <c r="D57" s="26"/>
      <c r="E57" s="26"/>
      <c r="F57" s="26"/>
      <c r="L57" s="26">
        <v>54</v>
      </c>
      <c r="M57" t="s">
        <v>266</v>
      </c>
      <c r="N57" s="1" t="str">
        <f t="shared" si="0"/>
        <v/>
      </c>
      <c r="O57" s="31"/>
      <c r="P57" s="34" t="str">
        <f t="shared" si="1"/>
        <v/>
      </c>
      <c r="R57" t="s">
        <v>266</v>
      </c>
      <c r="S57" s="1" t="str">
        <f t="shared" si="5"/>
        <v/>
      </c>
      <c r="T57" s="1"/>
      <c r="U57" s="35" t="str">
        <f t="shared" si="2"/>
        <v/>
      </c>
    </row>
    <row r="58" spans="1:21" x14ac:dyDescent="0.25">
      <c r="A58" s="26"/>
      <c r="B58" s="26"/>
      <c r="C58" s="26"/>
      <c r="D58" s="26"/>
      <c r="E58" s="26"/>
      <c r="F58" s="26"/>
      <c r="L58" s="26">
        <v>55</v>
      </c>
      <c r="M58" t="s">
        <v>265</v>
      </c>
      <c r="N58" s="1" t="str">
        <f t="shared" si="0"/>
        <v/>
      </c>
      <c r="O58" s="31"/>
      <c r="P58" s="34" t="str">
        <f t="shared" si="1"/>
        <v/>
      </c>
      <c r="R58" t="s">
        <v>265</v>
      </c>
      <c r="S58" s="1" t="str">
        <f t="shared" si="5"/>
        <v/>
      </c>
      <c r="T58" s="1"/>
      <c r="U58" s="35" t="str">
        <f t="shared" si="2"/>
        <v/>
      </c>
    </row>
    <row r="59" spans="1:21" x14ac:dyDescent="0.25">
      <c r="A59" s="26"/>
      <c r="B59" s="26"/>
      <c r="C59" s="26"/>
      <c r="D59" s="26"/>
      <c r="E59" s="26"/>
      <c r="F59" s="26"/>
      <c r="L59" s="26">
        <v>56</v>
      </c>
      <c r="M59" t="s">
        <v>264</v>
      </c>
      <c r="N59" s="1" t="str">
        <f t="shared" si="0"/>
        <v/>
      </c>
      <c r="O59" s="31"/>
      <c r="P59" s="34" t="str">
        <f t="shared" si="1"/>
        <v/>
      </c>
      <c r="R59" t="s">
        <v>264</v>
      </c>
      <c r="S59" s="1" t="str">
        <f t="shared" si="5"/>
        <v/>
      </c>
      <c r="T59" s="1"/>
      <c r="U59" s="35" t="str">
        <f t="shared" si="2"/>
        <v/>
      </c>
    </row>
    <row r="60" spans="1:21" x14ac:dyDescent="0.25">
      <c r="A60" s="26"/>
      <c r="B60" s="26"/>
      <c r="C60" s="26"/>
      <c r="D60" s="26"/>
      <c r="E60" s="26"/>
      <c r="F60" s="26"/>
      <c r="L60" s="26">
        <v>57</v>
      </c>
      <c r="M60" t="s">
        <v>263</v>
      </c>
      <c r="N60" s="1" t="str">
        <f t="shared" si="0"/>
        <v/>
      </c>
      <c r="O60" s="31"/>
      <c r="P60" s="34" t="str">
        <f t="shared" si="1"/>
        <v/>
      </c>
      <c r="R60" t="s">
        <v>263</v>
      </c>
      <c r="S60" s="1" t="str">
        <f t="shared" si="5"/>
        <v/>
      </c>
      <c r="T60" s="1"/>
      <c r="U60" s="35" t="str">
        <f t="shared" si="2"/>
        <v/>
      </c>
    </row>
    <row r="61" spans="1:21" x14ac:dyDescent="0.25">
      <c r="A61" s="26"/>
      <c r="B61" s="26"/>
      <c r="C61" s="26"/>
      <c r="D61" s="26"/>
      <c r="E61" s="26"/>
      <c r="F61" s="26"/>
      <c r="L61" s="26">
        <v>58</v>
      </c>
      <c r="M61" t="s">
        <v>262</v>
      </c>
      <c r="N61" s="1" t="str">
        <f t="shared" si="0"/>
        <v/>
      </c>
      <c r="O61" s="31"/>
      <c r="P61" s="34" t="str">
        <f t="shared" si="1"/>
        <v/>
      </c>
      <c r="R61" t="s">
        <v>262</v>
      </c>
      <c r="S61" s="1" t="str">
        <f t="shared" si="5"/>
        <v/>
      </c>
      <c r="T61" s="1"/>
      <c r="U61" s="35" t="str">
        <f t="shared" si="2"/>
        <v/>
      </c>
    </row>
    <row r="62" spans="1:21" x14ac:dyDescent="0.25">
      <c r="A62" s="26"/>
      <c r="B62" s="26"/>
      <c r="C62" s="26"/>
      <c r="D62" s="26"/>
      <c r="E62" s="26"/>
      <c r="F62" s="26"/>
      <c r="L62" s="26">
        <v>59</v>
      </c>
      <c r="M62" t="s">
        <v>261</v>
      </c>
      <c r="N62" s="1" t="str">
        <f t="shared" si="0"/>
        <v/>
      </c>
      <c r="O62" s="31"/>
      <c r="P62" s="34" t="str">
        <f t="shared" si="1"/>
        <v/>
      </c>
      <c r="R62" t="s">
        <v>261</v>
      </c>
      <c r="S62" s="1" t="str">
        <f t="shared" si="5"/>
        <v/>
      </c>
      <c r="T62" s="1"/>
      <c r="U62" s="35" t="str">
        <f t="shared" si="2"/>
        <v/>
      </c>
    </row>
    <row r="63" spans="1:21" x14ac:dyDescent="0.25">
      <c r="A63" s="26"/>
      <c r="B63" s="26"/>
      <c r="C63" s="26"/>
      <c r="D63" s="26"/>
      <c r="E63" s="26"/>
      <c r="F63" s="26"/>
      <c r="L63" s="26">
        <v>60</v>
      </c>
      <c r="M63" t="s">
        <v>260</v>
      </c>
      <c r="N63" s="1" t="str">
        <f t="shared" si="0"/>
        <v/>
      </c>
      <c r="O63" s="31"/>
      <c r="P63" s="34" t="str">
        <f t="shared" si="1"/>
        <v/>
      </c>
      <c r="R63" t="s">
        <v>260</v>
      </c>
      <c r="S63" s="1" t="str">
        <f t="shared" si="5"/>
        <v/>
      </c>
      <c r="T63" s="1"/>
      <c r="U63" s="35" t="str">
        <f t="shared" si="2"/>
        <v/>
      </c>
    </row>
    <row r="64" spans="1:21" x14ac:dyDescent="0.25">
      <c r="A64" s="26"/>
      <c r="B64" s="26"/>
      <c r="C64" s="26"/>
      <c r="D64" s="26"/>
      <c r="E64" s="26"/>
      <c r="F64" s="26"/>
      <c r="L64" s="26">
        <v>61</v>
      </c>
      <c r="M64" t="s">
        <v>259</v>
      </c>
      <c r="N64" s="1" t="str">
        <f t="shared" si="0"/>
        <v/>
      </c>
      <c r="O64" s="31"/>
      <c r="P64" s="34" t="str">
        <f t="shared" si="1"/>
        <v/>
      </c>
      <c r="R64" t="s">
        <v>259</v>
      </c>
      <c r="S64" s="1" t="str">
        <f t="shared" si="5"/>
        <v/>
      </c>
      <c r="T64" s="1"/>
      <c r="U64" s="35" t="str">
        <f t="shared" si="2"/>
        <v/>
      </c>
    </row>
    <row r="65" spans="1:21" x14ac:dyDescent="0.25">
      <c r="A65" s="26"/>
      <c r="B65" s="26"/>
      <c r="C65" s="26"/>
      <c r="D65" s="26"/>
      <c r="E65" s="26"/>
      <c r="F65" s="26"/>
      <c r="L65" s="26">
        <v>62</v>
      </c>
      <c r="M65" t="s">
        <v>258</v>
      </c>
      <c r="N65" s="1" t="str">
        <f t="shared" si="0"/>
        <v/>
      </c>
      <c r="O65" s="31"/>
      <c r="P65" s="34" t="str">
        <f t="shared" si="1"/>
        <v/>
      </c>
      <c r="R65" t="s">
        <v>258</v>
      </c>
      <c r="S65" s="1" t="str">
        <f t="shared" si="5"/>
        <v/>
      </c>
      <c r="T65" s="1"/>
      <c r="U65" s="35" t="str">
        <f t="shared" si="2"/>
        <v/>
      </c>
    </row>
    <row r="66" spans="1:21" x14ac:dyDescent="0.25">
      <c r="A66" s="26"/>
      <c r="B66" s="26"/>
      <c r="C66" s="26"/>
      <c r="D66" s="26"/>
      <c r="E66" s="26"/>
      <c r="F66" s="26"/>
      <c r="L66" s="26">
        <v>63</v>
      </c>
      <c r="M66" t="s">
        <v>257</v>
      </c>
      <c r="N66" s="1" t="str">
        <f t="shared" si="0"/>
        <v/>
      </c>
      <c r="O66" s="31"/>
      <c r="P66" s="34" t="str">
        <f t="shared" si="1"/>
        <v/>
      </c>
      <c r="R66" t="s">
        <v>257</v>
      </c>
      <c r="S66" s="1" t="str">
        <f t="shared" si="5"/>
        <v/>
      </c>
      <c r="T66" s="1"/>
      <c r="U66" s="35" t="str">
        <f t="shared" si="2"/>
        <v/>
      </c>
    </row>
    <row r="67" spans="1:21" x14ac:dyDescent="0.25">
      <c r="A67" s="26"/>
      <c r="B67" s="26"/>
      <c r="C67" s="26"/>
      <c r="D67" s="26"/>
      <c r="E67" s="26"/>
      <c r="F67" s="26"/>
      <c r="L67" s="26">
        <v>64</v>
      </c>
      <c r="M67" t="s">
        <v>256</v>
      </c>
      <c r="N67" s="1" t="str">
        <f t="shared" si="0"/>
        <v/>
      </c>
      <c r="O67" s="31"/>
      <c r="P67" s="34" t="str">
        <f t="shared" si="1"/>
        <v/>
      </c>
      <c r="R67" t="s">
        <v>256</v>
      </c>
      <c r="S67" s="1" t="str">
        <f t="shared" si="5"/>
        <v/>
      </c>
      <c r="T67" s="1"/>
      <c r="U67" s="35" t="str">
        <f t="shared" si="2"/>
        <v/>
      </c>
    </row>
    <row r="68" spans="1:21" x14ac:dyDescent="0.25">
      <c r="A68" s="26"/>
      <c r="B68" s="26"/>
      <c r="C68" s="26"/>
      <c r="D68" s="26"/>
      <c r="E68" s="26"/>
      <c r="F68" s="26"/>
      <c r="L68" s="26">
        <v>65</v>
      </c>
      <c r="M68" t="s">
        <v>255</v>
      </c>
      <c r="N68" s="1" t="str">
        <f t="shared" si="0"/>
        <v/>
      </c>
      <c r="O68" s="31"/>
      <c r="P68" s="34" t="str">
        <f t="shared" si="1"/>
        <v/>
      </c>
      <c r="R68" t="s">
        <v>255</v>
      </c>
      <c r="S68" s="1" t="str">
        <f t="shared" si="5"/>
        <v/>
      </c>
      <c r="T68" s="1"/>
      <c r="U68" s="35" t="str">
        <f t="shared" si="2"/>
        <v/>
      </c>
    </row>
    <row r="69" spans="1:21" x14ac:dyDescent="0.25">
      <c r="A69" s="26"/>
      <c r="B69" s="26"/>
      <c r="C69" s="26"/>
      <c r="D69" s="26"/>
      <c r="E69" s="26"/>
      <c r="F69" s="26"/>
      <c r="L69" s="26">
        <v>66</v>
      </c>
      <c r="M69" t="s">
        <v>254</v>
      </c>
      <c r="N69" s="1" t="str">
        <f t="shared" ref="N69:N132" si="6">IF(L69&gt;$I$2,"",F69/$D$3-1)</f>
        <v/>
      </c>
      <c r="O69" s="31"/>
      <c r="P69" s="34" t="str">
        <f t="shared" ref="P69:P132" si="7">IF(AND(L69&lt;=$I$2,N69&lt;= -0.1),1,"")</f>
        <v/>
      </c>
      <c r="R69" t="s">
        <v>254</v>
      </c>
      <c r="S69" s="1" t="str">
        <f t="shared" si="5"/>
        <v/>
      </c>
      <c r="T69" s="1"/>
      <c r="U69" s="35" t="str">
        <f t="shared" ref="U69:U132" si="8">IF(AND(L69&lt;=$I$2,S69&gt;=0.2),1,"")</f>
        <v/>
      </c>
    </row>
    <row r="70" spans="1:21" x14ac:dyDescent="0.25">
      <c r="A70" s="26"/>
      <c r="B70" s="26"/>
      <c r="C70" s="26"/>
      <c r="D70" s="26"/>
      <c r="E70" s="26"/>
      <c r="F70" s="26"/>
      <c r="L70" s="26">
        <v>67</v>
      </c>
      <c r="M70" t="s">
        <v>253</v>
      </c>
      <c r="N70" s="1" t="str">
        <f t="shared" si="6"/>
        <v/>
      </c>
      <c r="O70" s="31"/>
      <c r="P70" s="34" t="str">
        <f t="shared" si="7"/>
        <v/>
      </c>
      <c r="R70" t="s">
        <v>253</v>
      </c>
      <c r="S70" s="1" t="str">
        <f t="shared" si="5"/>
        <v/>
      </c>
      <c r="T70" s="1"/>
      <c r="U70" s="35" t="str">
        <f t="shared" si="8"/>
        <v/>
      </c>
    </row>
    <row r="71" spans="1:21" x14ac:dyDescent="0.25">
      <c r="A71" s="26"/>
      <c r="B71" s="26"/>
      <c r="C71" s="26"/>
      <c r="D71" s="26"/>
      <c r="E71" s="26"/>
      <c r="F71" s="26"/>
      <c r="L71" s="26">
        <v>68</v>
      </c>
      <c r="M71" t="s">
        <v>252</v>
      </c>
      <c r="N71" s="1" t="str">
        <f t="shared" si="6"/>
        <v/>
      </c>
      <c r="O71" s="31"/>
      <c r="P71" s="34" t="str">
        <f t="shared" si="7"/>
        <v/>
      </c>
      <c r="R71" t="s">
        <v>252</v>
      </c>
      <c r="S71" s="1" t="str">
        <f t="shared" si="5"/>
        <v/>
      </c>
      <c r="T71" s="1"/>
      <c r="U71" s="35" t="str">
        <f t="shared" si="8"/>
        <v/>
      </c>
    </row>
    <row r="72" spans="1:21" x14ac:dyDescent="0.25">
      <c r="A72" s="26"/>
      <c r="B72" s="26"/>
      <c r="C72" s="26"/>
      <c r="D72" s="26"/>
      <c r="E72" s="26"/>
      <c r="F72" s="26"/>
      <c r="L72" s="26">
        <v>69</v>
      </c>
      <c r="M72" t="s">
        <v>251</v>
      </c>
      <c r="N72" s="1" t="str">
        <f t="shared" si="6"/>
        <v/>
      </c>
      <c r="O72" s="31"/>
      <c r="P72" s="34" t="str">
        <f t="shared" si="7"/>
        <v/>
      </c>
      <c r="R72" t="s">
        <v>251</v>
      </c>
      <c r="S72" s="1" t="str">
        <f t="shared" si="5"/>
        <v/>
      </c>
      <c r="T72" s="1"/>
      <c r="U72" s="35" t="str">
        <f t="shared" si="8"/>
        <v/>
      </c>
    </row>
    <row r="73" spans="1:21" x14ac:dyDescent="0.25">
      <c r="A73" s="26"/>
      <c r="B73" s="26"/>
      <c r="C73" s="26"/>
      <c r="D73" s="26"/>
      <c r="E73" s="26"/>
      <c r="F73" s="26"/>
      <c r="L73" s="26">
        <v>70</v>
      </c>
      <c r="M73" t="s">
        <v>250</v>
      </c>
      <c r="N73" s="1" t="str">
        <f t="shared" si="6"/>
        <v/>
      </c>
      <c r="O73" s="31"/>
      <c r="P73" s="34" t="str">
        <f t="shared" si="7"/>
        <v/>
      </c>
      <c r="R73" t="s">
        <v>250</v>
      </c>
      <c r="S73" s="1" t="str">
        <f t="shared" si="5"/>
        <v/>
      </c>
      <c r="T73" s="1"/>
      <c r="U73" s="35" t="str">
        <f t="shared" si="8"/>
        <v/>
      </c>
    </row>
    <row r="74" spans="1:21" x14ac:dyDescent="0.25">
      <c r="A74" s="26"/>
      <c r="B74" s="26"/>
      <c r="C74" s="26"/>
      <c r="D74" s="26"/>
      <c r="E74" s="26"/>
      <c r="F74" s="26"/>
      <c r="L74" s="26">
        <v>71</v>
      </c>
      <c r="M74" t="s">
        <v>249</v>
      </c>
      <c r="N74" s="1" t="str">
        <f t="shared" si="6"/>
        <v/>
      </c>
      <c r="O74" s="31"/>
      <c r="P74" s="34" t="str">
        <f t="shared" si="7"/>
        <v/>
      </c>
      <c r="R74" t="s">
        <v>249</v>
      </c>
      <c r="S74" s="1" t="str">
        <f t="shared" si="5"/>
        <v/>
      </c>
      <c r="T74" s="1"/>
      <c r="U74" s="35" t="str">
        <f t="shared" si="8"/>
        <v/>
      </c>
    </row>
    <row r="75" spans="1:21" x14ac:dyDescent="0.25">
      <c r="A75" s="26"/>
      <c r="B75" s="26"/>
      <c r="C75" s="26"/>
      <c r="D75" s="26"/>
      <c r="E75" s="26"/>
      <c r="F75" s="26"/>
      <c r="L75" s="26">
        <v>72</v>
      </c>
      <c r="M75" t="s">
        <v>248</v>
      </c>
      <c r="N75" s="1" t="str">
        <f t="shared" si="6"/>
        <v/>
      </c>
      <c r="O75" s="31"/>
      <c r="P75" s="34" t="str">
        <f t="shared" si="7"/>
        <v/>
      </c>
      <c r="R75" t="s">
        <v>248</v>
      </c>
      <c r="S75" s="1" t="str">
        <f t="shared" si="5"/>
        <v/>
      </c>
      <c r="T75" s="1"/>
      <c r="U75" s="35" t="str">
        <f t="shared" si="8"/>
        <v/>
      </c>
    </row>
    <row r="76" spans="1:21" x14ac:dyDescent="0.25">
      <c r="A76" s="26"/>
      <c r="B76" s="26"/>
      <c r="C76" s="26"/>
      <c r="D76" s="26"/>
      <c r="E76" s="26"/>
      <c r="F76" s="26"/>
      <c r="L76" s="26">
        <v>73</v>
      </c>
      <c r="M76" t="s">
        <v>247</v>
      </c>
      <c r="N76" s="1" t="str">
        <f t="shared" si="6"/>
        <v/>
      </c>
      <c r="O76" s="31"/>
      <c r="P76" s="34" t="str">
        <f t="shared" si="7"/>
        <v/>
      </c>
      <c r="R76" t="s">
        <v>247</v>
      </c>
      <c r="S76" s="1" t="str">
        <f t="shared" si="5"/>
        <v/>
      </c>
      <c r="T76" s="1"/>
      <c r="U76" s="35" t="str">
        <f t="shared" si="8"/>
        <v/>
      </c>
    </row>
    <row r="77" spans="1:21" x14ac:dyDescent="0.25">
      <c r="A77" s="26"/>
      <c r="B77" s="26"/>
      <c r="C77" s="26"/>
      <c r="D77" s="26"/>
      <c r="E77" s="26"/>
      <c r="F77" s="26"/>
      <c r="L77" s="26">
        <v>74</v>
      </c>
      <c r="M77" t="s">
        <v>246</v>
      </c>
      <c r="N77" s="1" t="str">
        <f t="shared" si="6"/>
        <v/>
      </c>
      <c r="O77" s="31"/>
      <c r="P77" s="34" t="str">
        <f t="shared" si="7"/>
        <v/>
      </c>
      <c r="R77" t="s">
        <v>246</v>
      </c>
      <c r="S77" s="1" t="str">
        <f t="shared" si="5"/>
        <v/>
      </c>
      <c r="T77" s="1"/>
      <c r="U77" s="35" t="str">
        <f t="shared" si="8"/>
        <v/>
      </c>
    </row>
    <row r="78" spans="1:21" x14ac:dyDescent="0.25">
      <c r="A78" s="26"/>
      <c r="B78" s="26"/>
      <c r="C78" s="26"/>
      <c r="D78" s="26"/>
      <c r="E78" s="26"/>
      <c r="F78" s="26"/>
      <c r="L78" s="26">
        <v>75</v>
      </c>
      <c r="M78" t="s">
        <v>245</v>
      </c>
      <c r="N78" s="1" t="str">
        <f t="shared" si="6"/>
        <v/>
      </c>
      <c r="O78" s="31"/>
      <c r="P78" s="34" t="str">
        <f t="shared" si="7"/>
        <v/>
      </c>
      <c r="R78" t="s">
        <v>245</v>
      </c>
      <c r="S78" s="1" t="str">
        <f t="shared" si="5"/>
        <v/>
      </c>
      <c r="T78" s="1"/>
      <c r="U78" s="35" t="str">
        <f t="shared" si="8"/>
        <v/>
      </c>
    </row>
    <row r="79" spans="1:21" x14ac:dyDescent="0.25">
      <c r="A79" s="26"/>
      <c r="B79" s="26"/>
      <c r="C79" s="26"/>
      <c r="D79" s="26"/>
      <c r="E79" s="26"/>
      <c r="F79" s="26"/>
      <c r="L79" s="26">
        <v>76</v>
      </c>
      <c r="M79" t="s">
        <v>244</v>
      </c>
      <c r="N79" s="1" t="str">
        <f t="shared" si="6"/>
        <v/>
      </c>
      <c r="O79" s="31"/>
      <c r="P79" s="34" t="str">
        <f t="shared" si="7"/>
        <v/>
      </c>
      <c r="R79" t="s">
        <v>244</v>
      </c>
      <c r="S79" s="1" t="str">
        <f t="shared" si="5"/>
        <v/>
      </c>
      <c r="T79" s="1"/>
      <c r="U79" s="35" t="str">
        <f t="shared" si="8"/>
        <v/>
      </c>
    </row>
    <row r="80" spans="1:21" x14ac:dyDescent="0.25">
      <c r="A80" s="26"/>
      <c r="B80" s="26"/>
      <c r="C80" s="26"/>
      <c r="D80" s="26"/>
      <c r="E80" s="26"/>
      <c r="F80" s="26"/>
      <c r="L80" s="26">
        <v>77</v>
      </c>
      <c r="M80" t="s">
        <v>243</v>
      </c>
      <c r="N80" s="1" t="str">
        <f t="shared" si="6"/>
        <v/>
      </c>
      <c r="O80" s="31"/>
      <c r="P80" s="34" t="str">
        <f t="shared" si="7"/>
        <v/>
      </c>
      <c r="R80" t="s">
        <v>243</v>
      </c>
      <c r="S80" s="1" t="str">
        <f t="shared" si="5"/>
        <v/>
      </c>
      <c r="T80" s="1"/>
      <c r="U80" s="35" t="str">
        <f t="shared" si="8"/>
        <v/>
      </c>
    </row>
    <row r="81" spans="1:21" x14ac:dyDescent="0.25">
      <c r="A81" s="26"/>
      <c r="B81" s="26"/>
      <c r="C81" s="26"/>
      <c r="D81" s="26"/>
      <c r="E81" s="26"/>
      <c r="F81" s="26"/>
      <c r="L81" s="26">
        <v>78</v>
      </c>
      <c r="M81" t="s">
        <v>242</v>
      </c>
      <c r="N81" s="1" t="str">
        <f t="shared" si="6"/>
        <v/>
      </c>
      <c r="O81" s="31"/>
      <c r="P81" s="34" t="str">
        <f t="shared" si="7"/>
        <v/>
      </c>
      <c r="R81" t="s">
        <v>242</v>
      </c>
      <c r="S81" s="1" t="str">
        <f t="shared" si="5"/>
        <v/>
      </c>
      <c r="T81" s="1"/>
      <c r="U81" s="35" t="str">
        <f t="shared" si="8"/>
        <v/>
      </c>
    </row>
    <row r="82" spans="1:21" x14ac:dyDescent="0.25">
      <c r="A82" s="26"/>
      <c r="B82" s="26"/>
      <c r="C82" s="26"/>
      <c r="D82" s="26"/>
      <c r="E82" s="26"/>
      <c r="F82" s="26"/>
      <c r="L82" s="26">
        <v>79</v>
      </c>
      <c r="M82" t="s">
        <v>241</v>
      </c>
      <c r="N82" s="1" t="str">
        <f t="shared" si="6"/>
        <v/>
      </c>
      <c r="O82" s="31"/>
      <c r="P82" s="34" t="str">
        <f t="shared" si="7"/>
        <v/>
      </c>
      <c r="R82" t="s">
        <v>241</v>
      </c>
      <c r="S82" s="1" t="str">
        <f t="shared" si="5"/>
        <v/>
      </c>
      <c r="T82" s="1"/>
      <c r="U82" s="35" t="str">
        <f t="shared" si="8"/>
        <v/>
      </c>
    </row>
    <row r="83" spans="1:21" x14ac:dyDescent="0.25">
      <c r="A83" s="26"/>
      <c r="B83" s="26"/>
      <c r="C83" s="26"/>
      <c r="D83" s="26"/>
      <c r="E83" s="26"/>
      <c r="F83" s="26"/>
      <c r="L83" s="26">
        <v>80</v>
      </c>
      <c r="M83" t="s">
        <v>240</v>
      </c>
      <c r="N83" s="1" t="str">
        <f t="shared" si="6"/>
        <v/>
      </c>
      <c r="O83" s="31"/>
      <c r="P83" s="34" t="str">
        <f t="shared" si="7"/>
        <v/>
      </c>
      <c r="R83" t="s">
        <v>240</v>
      </c>
      <c r="S83" s="1" t="str">
        <f t="shared" si="5"/>
        <v/>
      </c>
      <c r="T83" s="1"/>
      <c r="U83" s="35" t="str">
        <f t="shared" si="8"/>
        <v/>
      </c>
    </row>
    <row r="84" spans="1:21" x14ac:dyDescent="0.25">
      <c r="A84" s="26"/>
      <c r="B84" s="26"/>
      <c r="C84" s="26"/>
      <c r="D84" s="26"/>
      <c r="E84" s="26"/>
      <c r="F84" s="26"/>
      <c r="L84" s="26">
        <v>81</v>
      </c>
      <c r="M84" t="s">
        <v>239</v>
      </c>
      <c r="N84" s="1" t="str">
        <f t="shared" si="6"/>
        <v/>
      </c>
      <c r="O84" s="31"/>
      <c r="P84" s="34" t="str">
        <f t="shared" si="7"/>
        <v/>
      </c>
      <c r="R84" t="s">
        <v>239</v>
      </c>
      <c r="S84" s="1" t="str">
        <f t="shared" si="5"/>
        <v/>
      </c>
      <c r="T84" s="1"/>
      <c r="U84" s="35" t="str">
        <f t="shared" si="8"/>
        <v/>
      </c>
    </row>
    <row r="85" spans="1:21" x14ac:dyDescent="0.25">
      <c r="A85" s="26"/>
      <c r="B85" s="26"/>
      <c r="C85" s="26"/>
      <c r="D85" s="26"/>
      <c r="E85" s="26"/>
      <c r="F85" s="26"/>
      <c r="L85" s="26">
        <v>82</v>
      </c>
      <c r="M85" t="s">
        <v>238</v>
      </c>
      <c r="N85" s="1" t="str">
        <f t="shared" si="6"/>
        <v/>
      </c>
      <c r="O85" s="31"/>
      <c r="P85" s="34" t="str">
        <f t="shared" si="7"/>
        <v/>
      </c>
      <c r="R85" t="s">
        <v>238</v>
      </c>
      <c r="S85" s="1" t="str">
        <f t="shared" si="5"/>
        <v/>
      </c>
      <c r="T85" s="1"/>
      <c r="U85" s="35" t="str">
        <f t="shared" si="8"/>
        <v/>
      </c>
    </row>
    <row r="86" spans="1:21" x14ac:dyDescent="0.25">
      <c r="A86" s="26"/>
      <c r="B86" s="26"/>
      <c r="C86" s="26"/>
      <c r="D86" s="26"/>
      <c r="E86" s="26"/>
      <c r="F86" s="26"/>
      <c r="L86" s="26">
        <v>83</v>
      </c>
      <c r="M86" t="s">
        <v>237</v>
      </c>
      <c r="N86" s="1" t="str">
        <f t="shared" si="6"/>
        <v/>
      </c>
      <c r="O86" s="31"/>
      <c r="P86" s="34" t="str">
        <f t="shared" si="7"/>
        <v/>
      </c>
      <c r="R86" t="s">
        <v>237</v>
      </c>
      <c r="S86" s="1" t="str">
        <f t="shared" si="5"/>
        <v/>
      </c>
      <c r="T86" s="1"/>
      <c r="U86" s="35" t="str">
        <f t="shared" si="8"/>
        <v/>
      </c>
    </row>
    <row r="87" spans="1:21" x14ac:dyDescent="0.25">
      <c r="A87" s="26"/>
      <c r="B87" s="26"/>
      <c r="C87" s="26"/>
      <c r="D87" s="26"/>
      <c r="E87" s="26"/>
      <c r="F87" s="26"/>
      <c r="L87" s="26">
        <v>84</v>
      </c>
      <c r="M87" t="s">
        <v>236</v>
      </c>
      <c r="N87" s="1" t="str">
        <f t="shared" si="6"/>
        <v/>
      </c>
      <c r="O87" s="31"/>
      <c r="P87" s="34" t="str">
        <f t="shared" si="7"/>
        <v/>
      </c>
      <c r="R87" t="s">
        <v>236</v>
      </c>
      <c r="S87" s="1" t="str">
        <f t="shared" si="5"/>
        <v/>
      </c>
      <c r="T87" s="1"/>
      <c r="U87" s="35" t="str">
        <f t="shared" si="8"/>
        <v/>
      </c>
    </row>
    <row r="88" spans="1:21" x14ac:dyDescent="0.25">
      <c r="A88" s="26"/>
      <c r="B88" s="26"/>
      <c r="C88" s="26"/>
      <c r="D88" s="26"/>
      <c r="E88" s="26"/>
      <c r="F88" s="26"/>
      <c r="L88" s="26">
        <v>85</v>
      </c>
      <c r="M88" t="s">
        <v>235</v>
      </c>
      <c r="N88" s="1" t="str">
        <f t="shared" si="6"/>
        <v/>
      </c>
      <c r="O88" s="31"/>
      <c r="P88" s="34" t="str">
        <f t="shared" si="7"/>
        <v/>
      </c>
      <c r="R88" t="s">
        <v>235</v>
      </c>
      <c r="S88" s="1" t="str">
        <f t="shared" ref="S88:S151" si="9">IF(L88&gt;$I$2,"",E88/$D$3-1)</f>
        <v/>
      </c>
      <c r="T88" s="1"/>
      <c r="U88" s="35" t="str">
        <f t="shared" si="8"/>
        <v/>
      </c>
    </row>
    <row r="89" spans="1:21" x14ac:dyDescent="0.25">
      <c r="A89" s="26"/>
      <c r="B89" s="26"/>
      <c r="C89" s="26"/>
      <c r="D89" s="26"/>
      <c r="E89" s="26"/>
      <c r="F89" s="26"/>
      <c r="L89" s="26">
        <v>86</v>
      </c>
      <c r="M89" t="s">
        <v>234</v>
      </c>
      <c r="N89" s="1" t="str">
        <f t="shared" si="6"/>
        <v/>
      </c>
      <c r="O89" s="31"/>
      <c r="P89" s="34" t="str">
        <f t="shared" si="7"/>
        <v/>
      </c>
      <c r="R89" t="s">
        <v>234</v>
      </c>
      <c r="S89" s="1" t="str">
        <f t="shared" si="9"/>
        <v/>
      </c>
      <c r="T89" s="1"/>
      <c r="U89" s="35" t="str">
        <f t="shared" si="8"/>
        <v/>
      </c>
    </row>
    <row r="90" spans="1:21" x14ac:dyDescent="0.25">
      <c r="A90" s="26"/>
      <c r="B90" s="26"/>
      <c r="C90" s="26"/>
      <c r="D90" s="26"/>
      <c r="E90" s="26"/>
      <c r="F90" s="26"/>
      <c r="L90" s="26">
        <v>87</v>
      </c>
      <c r="M90" t="s">
        <v>233</v>
      </c>
      <c r="N90" s="1" t="str">
        <f t="shared" si="6"/>
        <v/>
      </c>
      <c r="O90" s="31"/>
      <c r="P90" s="34" t="str">
        <f t="shared" si="7"/>
        <v/>
      </c>
      <c r="R90" t="s">
        <v>233</v>
      </c>
      <c r="S90" s="1" t="str">
        <f t="shared" si="9"/>
        <v/>
      </c>
      <c r="T90" s="1"/>
      <c r="U90" s="35" t="str">
        <f t="shared" si="8"/>
        <v/>
      </c>
    </row>
    <row r="91" spans="1:21" x14ac:dyDescent="0.25">
      <c r="A91" s="26"/>
      <c r="B91" s="26"/>
      <c r="C91" s="26"/>
      <c r="D91" s="26"/>
      <c r="E91" s="26"/>
      <c r="F91" s="26"/>
      <c r="L91" s="26">
        <v>88</v>
      </c>
      <c r="M91" t="s">
        <v>232</v>
      </c>
      <c r="N91" s="1" t="str">
        <f t="shared" si="6"/>
        <v/>
      </c>
      <c r="O91" s="31"/>
      <c r="P91" s="34" t="str">
        <f t="shared" si="7"/>
        <v/>
      </c>
      <c r="R91" t="s">
        <v>232</v>
      </c>
      <c r="S91" s="1" t="str">
        <f t="shared" si="9"/>
        <v/>
      </c>
      <c r="T91" s="1"/>
      <c r="U91" s="35" t="str">
        <f t="shared" si="8"/>
        <v/>
      </c>
    </row>
    <row r="92" spans="1:21" x14ac:dyDescent="0.25">
      <c r="A92" s="26"/>
      <c r="B92" s="26"/>
      <c r="C92" s="26"/>
      <c r="D92" s="26"/>
      <c r="E92" s="26"/>
      <c r="F92" s="26"/>
      <c r="L92" s="26">
        <v>89</v>
      </c>
      <c r="M92" t="s">
        <v>231</v>
      </c>
      <c r="N92" s="1" t="str">
        <f t="shared" si="6"/>
        <v/>
      </c>
      <c r="O92" s="31"/>
      <c r="P92" s="34" t="str">
        <f t="shared" si="7"/>
        <v/>
      </c>
      <c r="R92" t="s">
        <v>231</v>
      </c>
      <c r="S92" s="1" t="str">
        <f t="shared" si="9"/>
        <v/>
      </c>
      <c r="T92" s="1"/>
      <c r="U92" s="35" t="str">
        <f t="shared" si="8"/>
        <v/>
      </c>
    </row>
    <row r="93" spans="1:21" x14ac:dyDescent="0.25">
      <c r="A93" s="26"/>
      <c r="B93" s="26"/>
      <c r="C93" s="26"/>
      <c r="D93" s="26"/>
      <c r="E93" s="26"/>
      <c r="F93" s="26"/>
      <c r="L93" s="26">
        <v>90</v>
      </c>
      <c r="M93" t="s">
        <v>230</v>
      </c>
      <c r="N93" s="1" t="str">
        <f t="shared" si="6"/>
        <v/>
      </c>
      <c r="O93" s="31"/>
      <c r="P93" s="34" t="str">
        <f t="shared" si="7"/>
        <v/>
      </c>
      <c r="R93" t="s">
        <v>230</v>
      </c>
      <c r="S93" s="1" t="str">
        <f t="shared" si="9"/>
        <v/>
      </c>
      <c r="T93" s="1"/>
      <c r="U93" s="35" t="str">
        <f t="shared" si="8"/>
        <v/>
      </c>
    </row>
    <row r="94" spans="1:21" x14ac:dyDescent="0.25">
      <c r="A94" s="26"/>
      <c r="B94" s="26"/>
      <c r="C94" s="26"/>
      <c r="D94" s="26"/>
      <c r="E94" s="26"/>
      <c r="F94" s="26"/>
      <c r="L94" s="26">
        <v>91</v>
      </c>
      <c r="M94" t="s">
        <v>229</v>
      </c>
      <c r="N94" s="1" t="str">
        <f t="shared" si="6"/>
        <v/>
      </c>
      <c r="O94" s="31"/>
      <c r="P94" s="34" t="str">
        <f t="shared" si="7"/>
        <v/>
      </c>
      <c r="R94" t="s">
        <v>229</v>
      </c>
      <c r="S94" s="1" t="str">
        <f t="shared" si="9"/>
        <v/>
      </c>
      <c r="T94" s="1"/>
      <c r="U94" s="35" t="str">
        <f t="shared" si="8"/>
        <v/>
      </c>
    </row>
    <row r="95" spans="1:21" x14ac:dyDescent="0.25">
      <c r="A95" s="26"/>
      <c r="B95" s="26"/>
      <c r="C95" s="26"/>
      <c r="D95" s="26"/>
      <c r="E95" s="26"/>
      <c r="F95" s="26"/>
      <c r="L95" s="26">
        <v>92</v>
      </c>
      <c r="M95" t="s">
        <v>228</v>
      </c>
      <c r="N95" s="1" t="str">
        <f t="shared" si="6"/>
        <v/>
      </c>
      <c r="O95" s="31"/>
      <c r="P95" s="34" t="str">
        <f t="shared" si="7"/>
        <v/>
      </c>
      <c r="R95" t="s">
        <v>228</v>
      </c>
      <c r="S95" s="1" t="str">
        <f t="shared" si="9"/>
        <v/>
      </c>
      <c r="T95" s="1"/>
      <c r="U95" s="35" t="str">
        <f t="shared" si="8"/>
        <v/>
      </c>
    </row>
    <row r="96" spans="1:21" x14ac:dyDescent="0.25">
      <c r="L96" s="26">
        <v>93</v>
      </c>
      <c r="M96" t="s">
        <v>227</v>
      </c>
      <c r="N96" s="1" t="str">
        <f t="shared" si="6"/>
        <v/>
      </c>
      <c r="O96" s="31"/>
      <c r="P96" s="34" t="str">
        <f t="shared" si="7"/>
        <v/>
      </c>
      <c r="R96" t="s">
        <v>227</v>
      </c>
      <c r="S96" s="1" t="str">
        <f t="shared" si="9"/>
        <v/>
      </c>
      <c r="T96" s="1"/>
      <c r="U96" s="35" t="str">
        <f t="shared" si="8"/>
        <v/>
      </c>
    </row>
    <row r="97" spans="12:21" x14ac:dyDescent="0.25">
      <c r="L97" s="26">
        <v>94</v>
      </c>
      <c r="M97" t="s">
        <v>226</v>
      </c>
      <c r="N97" s="1" t="str">
        <f t="shared" si="6"/>
        <v/>
      </c>
      <c r="O97" s="31"/>
      <c r="P97" s="34" t="str">
        <f t="shared" si="7"/>
        <v/>
      </c>
      <c r="R97" t="s">
        <v>226</v>
      </c>
      <c r="S97" s="1" t="str">
        <f t="shared" si="9"/>
        <v/>
      </c>
      <c r="T97" s="1"/>
      <c r="U97" s="35" t="str">
        <f t="shared" si="8"/>
        <v/>
      </c>
    </row>
    <row r="98" spans="12:21" x14ac:dyDescent="0.25">
      <c r="L98" s="26">
        <v>95</v>
      </c>
      <c r="M98" t="s">
        <v>225</v>
      </c>
      <c r="N98" s="1" t="str">
        <f t="shared" si="6"/>
        <v/>
      </c>
      <c r="O98" s="31"/>
      <c r="P98" s="34" t="str">
        <f t="shared" si="7"/>
        <v/>
      </c>
      <c r="R98" t="s">
        <v>225</v>
      </c>
      <c r="S98" s="1" t="str">
        <f t="shared" si="9"/>
        <v/>
      </c>
      <c r="T98" s="1"/>
      <c r="U98" s="35" t="str">
        <f t="shared" si="8"/>
        <v/>
      </c>
    </row>
    <row r="99" spans="12:21" x14ac:dyDescent="0.25">
      <c r="L99" s="26">
        <v>96</v>
      </c>
      <c r="M99" t="s">
        <v>224</v>
      </c>
      <c r="N99" s="1" t="str">
        <f t="shared" si="6"/>
        <v/>
      </c>
      <c r="O99" s="31"/>
      <c r="P99" s="34" t="str">
        <f t="shared" si="7"/>
        <v/>
      </c>
      <c r="R99" t="s">
        <v>224</v>
      </c>
      <c r="S99" s="1" t="str">
        <f t="shared" si="9"/>
        <v/>
      </c>
      <c r="T99" s="1"/>
      <c r="U99" s="35" t="str">
        <f t="shared" si="8"/>
        <v/>
      </c>
    </row>
    <row r="100" spans="12:21" x14ac:dyDescent="0.25">
      <c r="L100" s="26">
        <v>97</v>
      </c>
      <c r="M100" t="s">
        <v>223</v>
      </c>
      <c r="N100" s="1" t="str">
        <f t="shared" si="6"/>
        <v/>
      </c>
      <c r="O100" s="31"/>
      <c r="P100" s="34" t="str">
        <f t="shared" si="7"/>
        <v/>
      </c>
      <c r="R100" t="s">
        <v>223</v>
      </c>
      <c r="S100" s="1" t="str">
        <f t="shared" si="9"/>
        <v/>
      </c>
      <c r="T100" s="1"/>
      <c r="U100" s="35" t="str">
        <f t="shared" si="8"/>
        <v/>
      </c>
    </row>
    <row r="101" spans="12:21" x14ac:dyDescent="0.25">
      <c r="L101" s="26">
        <v>98</v>
      </c>
      <c r="M101" t="s">
        <v>222</v>
      </c>
      <c r="N101" s="1" t="str">
        <f t="shared" si="6"/>
        <v/>
      </c>
      <c r="O101" s="31"/>
      <c r="P101" s="34" t="str">
        <f t="shared" si="7"/>
        <v/>
      </c>
      <c r="R101" t="s">
        <v>222</v>
      </c>
      <c r="S101" s="1" t="str">
        <f t="shared" si="9"/>
        <v/>
      </c>
      <c r="T101" s="1"/>
      <c r="U101" s="35" t="str">
        <f t="shared" si="8"/>
        <v/>
      </c>
    </row>
    <row r="102" spans="12:21" x14ac:dyDescent="0.25">
      <c r="L102" s="26">
        <v>99</v>
      </c>
      <c r="M102" t="s">
        <v>221</v>
      </c>
      <c r="N102" s="1" t="str">
        <f t="shared" si="6"/>
        <v/>
      </c>
      <c r="O102" s="31"/>
      <c r="P102" s="34" t="str">
        <f t="shared" si="7"/>
        <v/>
      </c>
      <c r="R102" t="s">
        <v>221</v>
      </c>
      <c r="S102" s="1" t="str">
        <f t="shared" si="9"/>
        <v/>
      </c>
      <c r="T102" s="1"/>
      <c r="U102" s="35" t="str">
        <f t="shared" si="8"/>
        <v/>
      </c>
    </row>
    <row r="103" spans="12:21" x14ac:dyDescent="0.25">
      <c r="L103" s="26">
        <v>100</v>
      </c>
      <c r="M103" t="s">
        <v>220</v>
      </c>
      <c r="N103" s="1" t="str">
        <f t="shared" si="6"/>
        <v/>
      </c>
      <c r="O103" s="31"/>
      <c r="P103" s="34" t="str">
        <f t="shared" si="7"/>
        <v/>
      </c>
      <c r="R103" t="s">
        <v>220</v>
      </c>
      <c r="S103" s="1" t="str">
        <f t="shared" si="9"/>
        <v/>
      </c>
      <c r="T103" s="1"/>
      <c r="U103" s="35" t="str">
        <f t="shared" si="8"/>
        <v/>
      </c>
    </row>
    <row r="104" spans="12:21" x14ac:dyDescent="0.25">
      <c r="L104" s="26">
        <v>101</v>
      </c>
      <c r="M104" t="s">
        <v>219</v>
      </c>
      <c r="N104" s="1" t="str">
        <f t="shared" si="6"/>
        <v/>
      </c>
      <c r="O104" s="31"/>
      <c r="P104" s="34" t="str">
        <f t="shared" si="7"/>
        <v/>
      </c>
      <c r="R104" t="s">
        <v>219</v>
      </c>
      <c r="S104" s="1" t="str">
        <f t="shared" si="9"/>
        <v/>
      </c>
      <c r="T104" s="1"/>
      <c r="U104" s="35" t="str">
        <f t="shared" si="8"/>
        <v/>
      </c>
    </row>
    <row r="105" spans="12:21" x14ac:dyDescent="0.25">
      <c r="L105" s="26">
        <v>102</v>
      </c>
      <c r="M105" t="s">
        <v>218</v>
      </c>
      <c r="N105" s="1" t="str">
        <f t="shared" si="6"/>
        <v/>
      </c>
      <c r="O105" s="31"/>
      <c r="P105" s="34" t="str">
        <f t="shared" si="7"/>
        <v/>
      </c>
      <c r="R105" t="s">
        <v>218</v>
      </c>
      <c r="S105" s="1" t="str">
        <f t="shared" si="9"/>
        <v/>
      </c>
      <c r="T105" s="1"/>
      <c r="U105" s="35" t="str">
        <f t="shared" si="8"/>
        <v/>
      </c>
    </row>
    <row r="106" spans="12:21" x14ac:dyDescent="0.25">
      <c r="L106" s="26">
        <v>103</v>
      </c>
      <c r="M106" t="s">
        <v>217</v>
      </c>
      <c r="N106" s="1" t="str">
        <f t="shared" si="6"/>
        <v/>
      </c>
      <c r="O106" s="31"/>
      <c r="P106" s="34" t="str">
        <f t="shared" si="7"/>
        <v/>
      </c>
      <c r="R106" t="s">
        <v>217</v>
      </c>
      <c r="S106" s="1" t="str">
        <f t="shared" si="9"/>
        <v/>
      </c>
      <c r="T106" s="1"/>
      <c r="U106" s="35" t="str">
        <f t="shared" si="8"/>
        <v/>
      </c>
    </row>
    <row r="107" spans="12:21" x14ac:dyDescent="0.25">
      <c r="L107" s="26">
        <v>104</v>
      </c>
      <c r="M107" t="s">
        <v>216</v>
      </c>
      <c r="N107" s="1" t="str">
        <f t="shared" si="6"/>
        <v/>
      </c>
      <c r="O107" s="31"/>
      <c r="P107" s="34" t="str">
        <f t="shared" si="7"/>
        <v/>
      </c>
      <c r="R107" t="s">
        <v>216</v>
      </c>
      <c r="S107" s="1" t="str">
        <f t="shared" si="9"/>
        <v/>
      </c>
      <c r="T107" s="1"/>
      <c r="U107" s="35" t="str">
        <f t="shared" si="8"/>
        <v/>
      </c>
    </row>
    <row r="108" spans="12:21" x14ac:dyDescent="0.25">
      <c r="L108" s="26">
        <v>105</v>
      </c>
      <c r="M108" t="s">
        <v>215</v>
      </c>
      <c r="N108" s="1" t="str">
        <f t="shared" si="6"/>
        <v/>
      </c>
      <c r="O108" s="31"/>
      <c r="P108" s="34" t="str">
        <f t="shared" si="7"/>
        <v/>
      </c>
      <c r="R108" t="s">
        <v>215</v>
      </c>
      <c r="S108" s="1" t="str">
        <f t="shared" si="9"/>
        <v/>
      </c>
      <c r="T108" s="1"/>
      <c r="U108" s="35" t="str">
        <f t="shared" si="8"/>
        <v/>
      </c>
    </row>
    <row r="109" spans="12:21" x14ac:dyDescent="0.25">
      <c r="L109" s="26">
        <v>106</v>
      </c>
      <c r="M109" t="s">
        <v>214</v>
      </c>
      <c r="N109" s="1" t="str">
        <f t="shared" si="6"/>
        <v/>
      </c>
      <c r="O109" s="31"/>
      <c r="P109" s="34" t="str">
        <f t="shared" si="7"/>
        <v/>
      </c>
      <c r="R109" t="s">
        <v>214</v>
      </c>
      <c r="S109" s="1" t="str">
        <f t="shared" si="9"/>
        <v/>
      </c>
      <c r="T109" s="1"/>
      <c r="U109" s="35" t="str">
        <f t="shared" si="8"/>
        <v/>
      </c>
    </row>
    <row r="110" spans="12:21" x14ac:dyDescent="0.25">
      <c r="L110" s="26">
        <v>107</v>
      </c>
      <c r="M110" t="s">
        <v>213</v>
      </c>
      <c r="N110" s="1" t="str">
        <f t="shared" si="6"/>
        <v/>
      </c>
      <c r="O110" s="31"/>
      <c r="P110" s="34" t="str">
        <f t="shared" si="7"/>
        <v/>
      </c>
      <c r="R110" t="s">
        <v>213</v>
      </c>
      <c r="S110" s="1" t="str">
        <f t="shared" si="9"/>
        <v/>
      </c>
      <c r="T110" s="1"/>
      <c r="U110" s="35" t="str">
        <f t="shared" si="8"/>
        <v/>
      </c>
    </row>
    <row r="111" spans="12:21" x14ac:dyDescent="0.25">
      <c r="L111" s="26">
        <v>108</v>
      </c>
      <c r="M111" t="s">
        <v>212</v>
      </c>
      <c r="N111" s="1" t="str">
        <f t="shared" si="6"/>
        <v/>
      </c>
      <c r="O111" s="31"/>
      <c r="P111" s="34" t="str">
        <f t="shared" si="7"/>
        <v/>
      </c>
      <c r="R111" t="s">
        <v>212</v>
      </c>
      <c r="S111" s="1" t="str">
        <f t="shared" si="9"/>
        <v/>
      </c>
      <c r="T111" s="1"/>
      <c r="U111" s="35" t="str">
        <f t="shared" si="8"/>
        <v/>
      </c>
    </row>
    <row r="112" spans="12:21" x14ac:dyDescent="0.25">
      <c r="L112" s="26">
        <v>109</v>
      </c>
      <c r="M112" t="s">
        <v>211</v>
      </c>
      <c r="N112" s="1" t="str">
        <f t="shared" si="6"/>
        <v/>
      </c>
      <c r="O112" s="31"/>
      <c r="P112" s="34" t="str">
        <f t="shared" si="7"/>
        <v/>
      </c>
      <c r="R112" t="s">
        <v>211</v>
      </c>
      <c r="S112" s="1" t="str">
        <f t="shared" si="9"/>
        <v/>
      </c>
      <c r="T112" s="1"/>
      <c r="U112" s="35" t="str">
        <f t="shared" si="8"/>
        <v/>
      </c>
    </row>
    <row r="113" spans="12:21" x14ac:dyDescent="0.25">
      <c r="L113" s="26">
        <v>110</v>
      </c>
      <c r="M113" t="s">
        <v>210</v>
      </c>
      <c r="N113" s="1" t="str">
        <f t="shared" si="6"/>
        <v/>
      </c>
      <c r="O113" s="31"/>
      <c r="P113" s="34" t="str">
        <f t="shared" si="7"/>
        <v/>
      </c>
      <c r="R113" t="s">
        <v>210</v>
      </c>
      <c r="S113" s="1" t="str">
        <f t="shared" si="9"/>
        <v/>
      </c>
      <c r="T113" s="1"/>
      <c r="U113" s="35" t="str">
        <f t="shared" si="8"/>
        <v/>
      </c>
    </row>
    <row r="114" spans="12:21" x14ac:dyDescent="0.25">
      <c r="L114" s="26">
        <v>111</v>
      </c>
      <c r="M114" t="s">
        <v>209</v>
      </c>
      <c r="N114" s="1" t="str">
        <f t="shared" si="6"/>
        <v/>
      </c>
      <c r="O114" s="31"/>
      <c r="P114" s="34" t="str">
        <f t="shared" si="7"/>
        <v/>
      </c>
      <c r="R114" t="s">
        <v>209</v>
      </c>
      <c r="S114" s="1" t="str">
        <f t="shared" si="9"/>
        <v/>
      </c>
      <c r="T114" s="1"/>
      <c r="U114" s="35" t="str">
        <f t="shared" si="8"/>
        <v/>
      </c>
    </row>
    <row r="115" spans="12:21" x14ac:dyDescent="0.25">
      <c r="L115" s="26">
        <v>112</v>
      </c>
      <c r="M115" t="s">
        <v>208</v>
      </c>
      <c r="N115" s="1" t="str">
        <f t="shared" si="6"/>
        <v/>
      </c>
      <c r="O115" s="31"/>
      <c r="P115" s="34" t="str">
        <f t="shared" si="7"/>
        <v/>
      </c>
      <c r="R115" t="s">
        <v>208</v>
      </c>
      <c r="S115" s="1" t="str">
        <f t="shared" si="9"/>
        <v/>
      </c>
      <c r="T115" s="1"/>
      <c r="U115" s="35" t="str">
        <f t="shared" si="8"/>
        <v/>
      </c>
    </row>
    <row r="116" spans="12:21" x14ac:dyDescent="0.25">
      <c r="L116" s="26">
        <v>113</v>
      </c>
      <c r="M116" t="s">
        <v>207</v>
      </c>
      <c r="N116" s="1" t="str">
        <f t="shared" si="6"/>
        <v/>
      </c>
      <c r="O116" s="31"/>
      <c r="P116" s="34" t="str">
        <f t="shared" si="7"/>
        <v/>
      </c>
      <c r="R116" t="s">
        <v>207</v>
      </c>
      <c r="S116" s="1" t="str">
        <f t="shared" si="9"/>
        <v/>
      </c>
      <c r="T116" s="1"/>
      <c r="U116" s="35" t="str">
        <f t="shared" si="8"/>
        <v/>
      </c>
    </row>
    <row r="117" spans="12:21" x14ac:dyDescent="0.25">
      <c r="L117" s="26">
        <v>114</v>
      </c>
      <c r="M117" t="s">
        <v>206</v>
      </c>
      <c r="N117" s="1" t="str">
        <f t="shared" si="6"/>
        <v/>
      </c>
      <c r="O117" s="31"/>
      <c r="P117" s="34" t="str">
        <f t="shared" si="7"/>
        <v/>
      </c>
      <c r="R117" t="s">
        <v>206</v>
      </c>
      <c r="S117" s="1" t="str">
        <f t="shared" si="9"/>
        <v/>
      </c>
      <c r="T117" s="1"/>
      <c r="U117" s="35" t="str">
        <f t="shared" si="8"/>
        <v/>
      </c>
    </row>
    <row r="118" spans="12:21" x14ac:dyDescent="0.25">
      <c r="L118" s="26">
        <v>115</v>
      </c>
      <c r="M118" t="s">
        <v>205</v>
      </c>
      <c r="N118" s="1" t="str">
        <f t="shared" si="6"/>
        <v/>
      </c>
      <c r="O118" s="31"/>
      <c r="P118" s="34" t="str">
        <f t="shared" si="7"/>
        <v/>
      </c>
      <c r="R118" t="s">
        <v>205</v>
      </c>
      <c r="S118" s="1" t="str">
        <f t="shared" si="9"/>
        <v/>
      </c>
      <c r="T118" s="1"/>
      <c r="U118" s="35" t="str">
        <f t="shared" si="8"/>
        <v/>
      </c>
    </row>
    <row r="119" spans="12:21" x14ac:dyDescent="0.25">
      <c r="L119" s="26">
        <v>116</v>
      </c>
      <c r="M119" t="s">
        <v>204</v>
      </c>
      <c r="N119" s="1" t="str">
        <f t="shared" si="6"/>
        <v/>
      </c>
      <c r="O119" s="31"/>
      <c r="P119" s="34" t="str">
        <f t="shared" si="7"/>
        <v/>
      </c>
      <c r="R119" t="s">
        <v>204</v>
      </c>
      <c r="S119" s="1" t="str">
        <f t="shared" si="9"/>
        <v/>
      </c>
      <c r="T119" s="1"/>
      <c r="U119" s="35" t="str">
        <f t="shared" si="8"/>
        <v/>
      </c>
    </row>
    <row r="120" spans="12:21" x14ac:dyDescent="0.25">
      <c r="L120" s="26">
        <v>117</v>
      </c>
      <c r="M120" t="s">
        <v>203</v>
      </c>
      <c r="N120" s="1" t="str">
        <f t="shared" si="6"/>
        <v/>
      </c>
      <c r="O120" s="31"/>
      <c r="P120" s="34" t="str">
        <f t="shared" si="7"/>
        <v/>
      </c>
      <c r="R120" t="s">
        <v>203</v>
      </c>
      <c r="S120" s="1" t="str">
        <f t="shared" si="9"/>
        <v/>
      </c>
      <c r="T120" s="1"/>
      <c r="U120" s="35" t="str">
        <f t="shared" si="8"/>
        <v/>
      </c>
    </row>
    <row r="121" spans="12:21" x14ac:dyDescent="0.25">
      <c r="L121" s="26">
        <v>118</v>
      </c>
      <c r="M121" t="s">
        <v>202</v>
      </c>
      <c r="N121" s="1" t="str">
        <f t="shared" si="6"/>
        <v/>
      </c>
      <c r="O121" s="31"/>
      <c r="P121" s="34" t="str">
        <f t="shared" si="7"/>
        <v/>
      </c>
      <c r="R121" t="s">
        <v>202</v>
      </c>
      <c r="S121" s="1" t="str">
        <f t="shared" si="9"/>
        <v/>
      </c>
      <c r="T121" s="1"/>
      <c r="U121" s="35" t="str">
        <f t="shared" si="8"/>
        <v/>
      </c>
    </row>
    <row r="122" spans="12:21" x14ac:dyDescent="0.25">
      <c r="L122" s="26">
        <v>119</v>
      </c>
      <c r="M122" t="s">
        <v>201</v>
      </c>
      <c r="N122" s="1" t="str">
        <f t="shared" si="6"/>
        <v/>
      </c>
      <c r="O122" s="31"/>
      <c r="P122" s="34" t="str">
        <f t="shared" si="7"/>
        <v/>
      </c>
      <c r="R122" t="s">
        <v>201</v>
      </c>
      <c r="S122" s="1" t="str">
        <f t="shared" si="9"/>
        <v/>
      </c>
      <c r="T122" s="1"/>
      <c r="U122" s="35" t="str">
        <f t="shared" si="8"/>
        <v/>
      </c>
    </row>
    <row r="123" spans="12:21" x14ac:dyDescent="0.25">
      <c r="L123" s="26">
        <v>120</v>
      </c>
      <c r="M123" t="s">
        <v>200</v>
      </c>
      <c r="N123" s="1" t="str">
        <f t="shared" si="6"/>
        <v/>
      </c>
      <c r="O123" s="31"/>
      <c r="P123" s="34" t="str">
        <f t="shared" si="7"/>
        <v/>
      </c>
      <c r="R123" t="s">
        <v>200</v>
      </c>
      <c r="S123" s="1" t="str">
        <f t="shared" si="9"/>
        <v/>
      </c>
      <c r="T123" s="1"/>
      <c r="U123" s="35" t="str">
        <f t="shared" si="8"/>
        <v/>
      </c>
    </row>
    <row r="124" spans="12:21" x14ac:dyDescent="0.25">
      <c r="L124" s="26">
        <v>121</v>
      </c>
      <c r="M124" t="s">
        <v>199</v>
      </c>
      <c r="N124" s="1" t="str">
        <f t="shared" si="6"/>
        <v/>
      </c>
      <c r="O124" s="31"/>
      <c r="P124" s="34" t="str">
        <f t="shared" si="7"/>
        <v/>
      </c>
      <c r="R124" t="s">
        <v>199</v>
      </c>
      <c r="S124" s="1" t="str">
        <f t="shared" si="9"/>
        <v/>
      </c>
      <c r="T124" s="1"/>
      <c r="U124" s="35" t="str">
        <f t="shared" si="8"/>
        <v/>
      </c>
    </row>
    <row r="125" spans="12:21" x14ac:dyDescent="0.25">
      <c r="L125" s="26">
        <v>122</v>
      </c>
      <c r="M125" t="s">
        <v>198</v>
      </c>
      <c r="N125" s="1" t="str">
        <f t="shared" si="6"/>
        <v/>
      </c>
      <c r="O125" s="31"/>
      <c r="P125" s="34" t="str">
        <f t="shared" si="7"/>
        <v/>
      </c>
      <c r="R125" t="s">
        <v>198</v>
      </c>
      <c r="S125" s="1" t="str">
        <f t="shared" si="9"/>
        <v/>
      </c>
      <c r="T125" s="1"/>
      <c r="U125" s="35" t="str">
        <f t="shared" si="8"/>
        <v/>
      </c>
    </row>
    <row r="126" spans="12:21" x14ac:dyDescent="0.25">
      <c r="L126" s="26">
        <v>123</v>
      </c>
      <c r="M126" t="s">
        <v>197</v>
      </c>
      <c r="N126" s="1" t="str">
        <f t="shared" si="6"/>
        <v/>
      </c>
      <c r="O126" s="31"/>
      <c r="P126" s="34" t="str">
        <f t="shared" si="7"/>
        <v/>
      </c>
      <c r="R126" t="s">
        <v>197</v>
      </c>
      <c r="S126" s="1" t="str">
        <f t="shared" si="9"/>
        <v/>
      </c>
      <c r="T126" s="1"/>
      <c r="U126" s="35" t="str">
        <f t="shared" si="8"/>
        <v/>
      </c>
    </row>
    <row r="127" spans="12:21" x14ac:dyDescent="0.25">
      <c r="L127" s="26">
        <v>124</v>
      </c>
      <c r="M127" t="s">
        <v>196</v>
      </c>
      <c r="N127" s="1" t="str">
        <f t="shared" si="6"/>
        <v/>
      </c>
      <c r="O127" s="31"/>
      <c r="P127" s="34" t="str">
        <f t="shared" si="7"/>
        <v/>
      </c>
      <c r="R127" t="s">
        <v>196</v>
      </c>
      <c r="S127" s="1" t="str">
        <f t="shared" si="9"/>
        <v/>
      </c>
      <c r="T127" s="1"/>
      <c r="U127" s="35" t="str">
        <f t="shared" si="8"/>
        <v/>
      </c>
    </row>
    <row r="128" spans="12:21" x14ac:dyDescent="0.25">
      <c r="L128" s="26">
        <v>125</v>
      </c>
      <c r="M128" t="s">
        <v>195</v>
      </c>
      <c r="N128" s="1" t="str">
        <f t="shared" si="6"/>
        <v/>
      </c>
      <c r="O128" s="31"/>
      <c r="P128" s="34" t="str">
        <f t="shared" si="7"/>
        <v/>
      </c>
      <c r="R128" t="s">
        <v>195</v>
      </c>
      <c r="S128" s="1" t="str">
        <f t="shared" si="9"/>
        <v/>
      </c>
      <c r="T128" s="1"/>
      <c r="U128" s="35" t="str">
        <f t="shared" si="8"/>
        <v/>
      </c>
    </row>
    <row r="129" spans="12:21" x14ac:dyDescent="0.25">
      <c r="L129" s="26">
        <v>126</v>
      </c>
      <c r="M129" t="s">
        <v>194</v>
      </c>
      <c r="N129" s="1" t="str">
        <f t="shared" si="6"/>
        <v/>
      </c>
      <c r="O129" s="31"/>
      <c r="P129" s="34" t="str">
        <f t="shared" si="7"/>
        <v/>
      </c>
      <c r="R129" t="s">
        <v>194</v>
      </c>
      <c r="S129" s="1" t="str">
        <f t="shared" si="9"/>
        <v/>
      </c>
      <c r="T129" s="1"/>
      <c r="U129" s="35" t="str">
        <f t="shared" si="8"/>
        <v/>
      </c>
    </row>
    <row r="130" spans="12:21" x14ac:dyDescent="0.25">
      <c r="L130" s="26">
        <v>127</v>
      </c>
      <c r="M130" t="s">
        <v>193</v>
      </c>
      <c r="N130" s="1" t="str">
        <f t="shared" si="6"/>
        <v/>
      </c>
      <c r="O130" s="31"/>
      <c r="P130" s="34" t="str">
        <f t="shared" si="7"/>
        <v/>
      </c>
      <c r="R130" t="s">
        <v>193</v>
      </c>
      <c r="S130" s="1" t="str">
        <f t="shared" si="9"/>
        <v/>
      </c>
      <c r="T130" s="1"/>
      <c r="U130" s="35" t="str">
        <f t="shared" si="8"/>
        <v/>
      </c>
    </row>
    <row r="131" spans="12:21" x14ac:dyDescent="0.25">
      <c r="L131" s="26">
        <v>128</v>
      </c>
      <c r="M131" t="s">
        <v>192</v>
      </c>
      <c r="N131" s="1" t="str">
        <f t="shared" si="6"/>
        <v/>
      </c>
      <c r="O131" s="31"/>
      <c r="P131" s="34" t="str">
        <f t="shared" si="7"/>
        <v/>
      </c>
      <c r="R131" t="s">
        <v>192</v>
      </c>
      <c r="S131" s="1" t="str">
        <f t="shared" si="9"/>
        <v/>
      </c>
      <c r="T131" s="1"/>
      <c r="U131" s="35" t="str">
        <f t="shared" si="8"/>
        <v/>
      </c>
    </row>
    <row r="132" spans="12:21" x14ac:dyDescent="0.25">
      <c r="L132" s="26">
        <v>129</v>
      </c>
      <c r="M132" t="s">
        <v>191</v>
      </c>
      <c r="N132" s="1" t="str">
        <f t="shared" si="6"/>
        <v/>
      </c>
      <c r="O132" s="31"/>
      <c r="P132" s="34" t="str">
        <f t="shared" si="7"/>
        <v/>
      </c>
      <c r="R132" t="s">
        <v>191</v>
      </c>
      <c r="S132" s="1" t="str">
        <f t="shared" si="9"/>
        <v/>
      </c>
      <c r="T132" s="1"/>
      <c r="U132" s="35" t="str">
        <f t="shared" si="8"/>
        <v/>
      </c>
    </row>
    <row r="133" spans="12:21" x14ac:dyDescent="0.25">
      <c r="L133" s="26">
        <v>130</v>
      </c>
      <c r="M133" t="s">
        <v>190</v>
      </c>
      <c r="N133" s="1" t="str">
        <f t="shared" ref="N133:N196" si="10">IF(L133&gt;$I$2,"",F133/$D$3-1)</f>
        <v/>
      </c>
      <c r="O133" s="31"/>
      <c r="P133" s="34" t="str">
        <f t="shared" ref="P133:P196" si="11">IF(AND(L133&lt;=$I$2,N133&lt;= -0.1),1,"")</f>
        <v/>
      </c>
      <c r="R133" t="s">
        <v>190</v>
      </c>
      <c r="S133" s="1" t="str">
        <f t="shared" si="9"/>
        <v/>
      </c>
      <c r="T133" s="1"/>
      <c r="U133" s="35" t="str">
        <f t="shared" ref="U133:U196" si="12">IF(AND(L133&lt;=$I$2,S133&gt;=0.2),1,"")</f>
        <v/>
      </c>
    </row>
    <row r="134" spans="12:21" x14ac:dyDescent="0.25">
      <c r="L134" s="26">
        <v>131</v>
      </c>
      <c r="M134" t="s">
        <v>189</v>
      </c>
      <c r="N134" s="1" t="str">
        <f t="shared" si="10"/>
        <v/>
      </c>
      <c r="O134" s="31"/>
      <c r="P134" s="34" t="str">
        <f t="shared" si="11"/>
        <v/>
      </c>
      <c r="R134" t="s">
        <v>189</v>
      </c>
      <c r="S134" s="1" t="str">
        <f t="shared" si="9"/>
        <v/>
      </c>
      <c r="T134" s="1"/>
      <c r="U134" s="35" t="str">
        <f t="shared" si="12"/>
        <v/>
      </c>
    </row>
    <row r="135" spans="12:21" x14ac:dyDescent="0.25">
      <c r="L135" s="26">
        <v>132</v>
      </c>
      <c r="M135" t="s">
        <v>188</v>
      </c>
      <c r="N135" s="1" t="str">
        <f t="shared" si="10"/>
        <v/>
      </c>
      <c r="O135" s="31"/>
      <c r="P135" s="34" t="str">
        <f t="shared" si="11"/>
        <v/>
      </c>
      <c r="R135" t="s">
        <v>188</v>
      </c>
      <c r="S135" s="1" t="str">
        <f t="shared" si="9"/>
        <v/>
      </c>
      <c r="T135" s="1"/>
      <c r="U135" s="35" t="str">
        <f t="shared" si="12"/>
        <v/>
      </c>
    </row>
    <row r="136" spans="12:21" x14ac:dyDescent="0.25">
      <c r="L136" s="26">
        <v>133</v>
      </c>
      <c r="M136" t="s">
        <v>187</v>
      </c>
      <c r="N136" s="1" t="str">
        <f t="shared" si="10"/>
        <v/>
      </c>
      <c r="O136" s="31"/>
      <c r="P136" s="34" t="str">
        <f t="shared" si="11"/>
        <v/>
      </c>
      <c r="R136" t="s">
        <v>187</v>
      </c>
      <c r="S136" s="1" t="str">
        <f t="shared" si="9"/>
        <v/>
      </c>
      <c r="T136" s="1"/>
      <c r="U136" s="35" t="str">
        <f t="shared" si="12"/>
        <v/>
      </c>
    </row>
    <row r="137" spans="12:21" x14ac:dyDescent="0.25">
      <c r="L137" s="26">
        <v>134</v>
      </c>
      <c r="M137" t="s">
        <v>186</v>
      </c>
      <c r="N137" s="1" t="str">
        <f t="shared" si="10"/>
        <v/>
      </c>
      <c r="O137" s="31"/>
      <c r="P137" s="34" t="str">
        <f t="shared" si="11"/>
        <v/>
      </c>
      <c r="R137" t="s">
        <v>186</v>
      </c>
      <c r="S137" s="1" t="str">
        <f t="shared" si="9"/>
        <v/>
      </c>
      <c r="T137" s="1"/>
      <c r="U137" s="35" t="str">
        <f t="shared" si="12"/>
        <v/>
      </c>
    </row>
    <row r="138" spans="12:21" x14ac:dyDescent="0.25">
      <c r="L138" s="26">
        <v>135</v>
      </c>
      <c r="M138" t="s">
        <v>185</v>
      </c>
      <c r="N138" s="1" t="str">
        <f t="shared" si="10"/>
        <v/>
      </c>
      <c r="O138" s="31"/>
      <c r="P138" s="34" t="str">
        <f t="shared" si="11"/>
        <v/>
      </c>
      <c r="R138" t="s">
        <v>185</v>
      </c>
      <c r="S138" s="1" t="str">
        <f t="shared" si="9"/>
        <v/>
      </c>
      <c r="T138" s="1"/>
      <c r="U138" s="35" t="str">
        <f t="shared" si="12"/>
        <v/>
      </c>
    </row>
    <row r="139" spans="12:21" x14ac:dyDescent="0.25">
      <c r="L139" s="26">
        <v>136</v>
      </c>
      <c r="M139" t="s">
        <v>184</v>
      </c>
      <c r="N139" s="1" t="str">
        <f t="shared" si="10"/>
        <v/>
      </c>
      <c r="O139" s="31"/>
      <c r="P139" s="34" t="str">
        <f t="shared" si="11"/>
        <v/>
      </c>
      <c r="R139" t="s">
        <v>184</v>
      </c>
      <c r="S139" s="1" t="str">
        <f t="shared" si="9"/>
        <v/>
      </c>
      <c r="T139" s="1"/>
      <c r="U139" s="35" t="str">
        <f t="shared" si="12"/>
        <v/>
      </c>
    </row>
    <row r="140" spans="12:21" x14ac:dyDescent="0.25">
      <c r="L140" s="26">
        <v>137</v>
      </c>
      <c r="M140" t="s">
        <v>183</v>
      </c>
      <c r="N140" s="1" t="str">
        <f t="shared" si="10"/>
        <v/>
      </c>
      <c r="O140" s="31"/>
      <c r="P140" s="34" t="str">
        <f t="shared" si="11"/>
        <v/>
      </c>
      <c r="R140" t="s">
        <v>183</v>
      </c>
      <c r="S140" s="1" t="str">
        <f t="shared" si="9"/>
        <v/>
      </c>
      <c r="T140" s="1"/>
      <c r="U140" s="35" t="str">
        <f t="shared" si="12"/>
        <v/>
      </c>
    </row>
    <row r="141" spans="12:21" x14ac:dyDescent="0.25">
      <c r="L141" s="26">
        <v>138</v>
      </c>
      <c r="M141" t="s">
        <v>182</v>
      </c>
      <c r="N141" s="1" t="str">
        <f t="shared" si="10"/>
        <v/>
      </c>
      <c r="O141" s="31"/>
      <c r="P141" s="34" t="str">
        <f t="shared" si="11"/>
        <v/>
      </c>
      <c r="R141" t="s">
        <v>182</v>
      </c>
      <c r="S141" s="1" t="str">
        <f t="shared" si="9"/>
        <v/>
      </c>
      <c r="T141" s="1"/>
      <c r="U141" s="35" t="str">
        <f t="shared" si="12"/>
        <v/>
      </c>
    </row>
    <row r="142" spans="12:21" x14ac:dyDescent="0.25">
      <c r="L142" s="26">
        <v>139</v>
      </c>
      <c r="M142" t="s">
        <v>181</v>
      </c>
      <c r="N142" s="1" t="str">
        <f t="shared" si="10"/>
        <v/>
      </c>
      <c r="O142" s="31"/>
      <c r="P142" s="34" t="str">
        <f t="shared" si="11"/>
        <v/>
      </c>
      <c r="R142" t="s">
        <v>181</v>
      </c>
      <c r="S142" s="1" t="str">
        <f t="shared" si="9"/>
        <v/>
      </c>
      <c r="T142" s="1"/>
      <c r="U142" s="35" t="str">
        <f t="shared" si="12"/>
        <v/>
      </c>
    </row>
    <row r="143" spans="12:21" x14ac:dyDescent="0.25">
      <c r="L143" s="26">
        <v>140</v>
      </c>
      <c r="M143" t="s">
        <v>180</v>
      </c>
      <c r="N143" s="1" t="str">
        <f t="shared" si="10"/>
        <v/>
      </c>
      <c r="O143" s="31"/>
      <c r="P143" s="34" t="str">
        <f t="shared" si="11"/>
        <v/>
      </c>
      <c r="R143" t="s">
        <v>180</v>
      </c>
      <c r="S143" s="1" t="str">
        <f t="shared" si="9"/>
        <v/>
      </c>
      <c r="T143" s="1"/>
      <c r="U143" s="35" t="str">
        <f t="shared" si="12"/>
        <v/>
      </c>
    </row>
    <row r="144" spans="12:21" x14ac:dyDescent="0.25">
      <c r="L144" s="26">
        <v>141</v>
      </c>
      <c r="M144" t="s">
        <v>179</v>
      </c>
      <c r="N144" s="1" t="str">
        <f t="shared" si="10"/>
        <v/>
      </c>
      <c r="O144" s="31"/>
      <c r="P144" s="34" t="str">
        <f t="shared" si="11"/>
        <v/>
      </c>
      <c r="R144" t="s">
        <v>179</v>
      </c>
      <c r="S144" s="1" t="str">
        <f t="shared" si="9"/>
        <v/>
      </c>
      <c r="T144" s="1"/>
      <c r="U144" s="35" t="str">
        <f t="shared" si="12"/>
        <v/>
      </c>
    </row>
    <row r="145" spans="12:21" x14ac:dyDescent="0.25">
      <c r="L145" s="26">
        <v>142</v>
      </c>
      <c r="M145" t="s">
        <v>178</v>
      </c>
      <c r="N145" s="1" t="str">
        <f t="shared" si="10"/>
        <v/>
      </c>
      <c r="O145" s="31"/>
      <c r="P145" s="34" t="str">
        <f t="shared" si="11"/>
        <v/>
      </c>
      <c r="R145" t="s">
        <v>178</v>
      </c>
      <c r="S145" s="1" t="str">
        <f t="shared" si="9"/>
        <v/>
      </c>
      <c r="T145" s="1"/>
      <c r="U145" s="35" t="str">
        <f t="shared" si="12"/>
        <v/>
      </c>
    </row>
    <row r="146" spans="12:21" x14ac:dyDescent="0.25">
      <c r="L146" s="26">
        <v>143</v>
      </c>
      <c r="M146" t="s">
        <v>177</v>
      </c>
      <c r="N146" s="1" t="str">
        <f t="shared" si="10"/>
        <v/>
      </c>
      <c r="O146" s="31"/>
      <c r="P146" s="34" t="str">
        <f t="shared" si="11"/>
        <v/>
      </c>
      <c r="R146" t="s">
        <v>177</v>
      </c>
      <c r="S146" s="1" t="str">
        <f t="shared" si="9"/>
        <v/>
      </c>
      <c r="T146" s="1"/>
      <c r="U146" s="35" t="str">
        <f t="shared" si="12"/>
        <v/>
      </c>
    </row>
    <row r="147" spans="12:21" x14ac:dyDescent="0.25">
      <c r="L147" s="26">
        <v>144</v>
      </c>
      <c r="M147" t="s">
        <v>176</v>
      </c>
      <c r="N147" s="1" t="str">
        <f t="shared" si="10"/>
        <v/>
      </c>
      <c r="O147" s="31"/>
      <c r="P147" s="34" t="str">
        <f t="shared" si="11"/>
        <v/>
      </c>
      <c r="R147" t="s">
        <v>176</v>
      </c>
      <c r="S147" s="1" t="str">
        <f t="shared" si="9"/>
        <v/>
      </c>
      <c r="T147" s="1"/>
      <c r="U147" s="35" t="str">
        <f t="shared" si="12"/>
        <v/>
      </c>
    </row>
    <row r="148" spans="12:21" x14ac:dyDescent="0.25">
      <c r="L148" s="26">
        <v>145</v>
      </c>
      <c r="M148" t="s">
        <v>175</v>
      </c>
      <c r="N148" s="1" t="str">
        <f t="shared" si="10"/>
        <v/>
      </c>
      <c r="O148" s="31"/>
      <c r="P148" s="34" t="str">
        <f t="shared" si="11"/>
        <v/>
      </c>
      <c r="R148" t="s">
        <v>175</v>
      </c>
      <c r="S148" s="1" t="str">
        <f t="shared" si="9"/>
        <v/>
      </c>
      <c r="T148" s="1"/>
      <c r="U148" s="35" t="str">
        <f t="shared" si="12"/>
        <v/>
      </c>
    </row>
    <row r="149" spans="12:21" x14ac:dyDescent="0.25">
      <c r="L149" s="26">
        <v>146</v>
      </c>
      <c r="M149" t="s">
        <v>174</v>
      </c>
      <c r="N149" s="1" t="str">
        <f t="shared" si="10"/>
        <v/>
      </c>
      <c r="O149" s="31"/>
      <c r="P149" s="34" t="str">
        <f t="shared" si="11"/>
        <v/>
      </c>
      <c r="R149" t="s">
        <v>174</v>
      </c>
      <c r="S149" s="1" t="str">
        <f t="shared" si="9"/>
        <v/>
      </c>
      <c r="T149" s="1"/>
      <c r="U149" s="35" t="str">
        <f t="shared" si="12"/>
        <v/>
      </c>
    </row>
    <row r="150" spans="12:21" x14ac:dyDescent="0.25">
      <c r="L150" s="26">
        <v>147</v>
      </c>
      <c r="M150" t="s">
        <v>173</v>
      </c>
      <c r="N150" s="1" t="str">
        <f t="shared" si="10"/>
        <v/>
      </c>
      <c r="O150" s="31"/>
      <c r="P150" s="34" t="str">
        <f t="shared" si="11"/>
        <v/>
      </c>
      <c r="R150" t="s">
        <v>173</v>
      </c>
      <c r="S150" s="1" t="str">
        <f t="shared" si="9"/>
        <v/>
      </c>
      <c r="T150" s="1"/>
      <c r="U150" s="35" t="str">
        <f t="shared" si="12"/>
        <v/>
      </c>
    </row>
    <row r="151" spans="12:21" x14ac:dyDescent="0.25">
      <c r="L151" s="26">
        <v>148</v>
      </c>
      <c r="M151" t="s">
        <v>172</v>
      </c>
      <c r="N151" s="1" t="str">
        <f t="shared" si="10"/>
        <v/>
      </c>
      <c r="O151" s="31"/>
      <c r="P151" s="34" t="str">
        <f t="shared" si="11"/>
        <v/>
      </c>
      <c r="R151" t="s">
        <v>172</v>
      </c>
      <c r="S151" s="1" t="str">
        <f t="shared" si="9"/>
        <v/>
      </c>
      <c r="T151" s="1"/>
      <c r="U151" s="35" t="str">
        <f t="shared" si="12"/>
        <v/>
      </c>
    </row>
    <row r="152" spans="12:21" x14ac:dyDescent="0.25">
      <c r="L152" s="26">
        <v>149</v>
      </c>
      <c r="M152" t="s">
        <v>171</v>
      </c>
      <c r="N152" s="1" t="str">
        <f t="shared" si="10"/>
        <v/>
      </c>
      <c r="O152" s="31"/>
      <c r="P152" s="34" t="str">
        <f t="shared" si="11"/>
        <v/>
      </c>
      <c r="R152" t="s">
        <v>171</v>
      </c>
      <c r="S152" s="1" t="str">
        <f t="shared" ref="S152:S215" si="13">IF(L152&gt;$I$2,"",E152/$D$3-1)</f>
        <v/>
      </c>
      <c r="T152" s="1"/>
      <c r="U152" s="35" t="str">
        <f t="shared" si="12"/>
        <v/>
      </c>
    </row>
    <row r="153" spans="12:21" x14ac:dyDescent="0.25">
      <c r="L153" s="26">
        <v>150</v>
      </c>
      <c r="M153" t="s">
        <v>170</v>
      </c>
      <c r="N153" s="1" t="str">
        <f t="shared" si="10"/>
        <v/>
      </c>
      <c r="O153" s="31"/>
      <c r="P153" s="34" t="str">
        <f t="shared" si="11"/>
        <v/>
      </c>
      <c r="R153" t="s">
        <v>170</v>
      </c>
      <c r="S153" s="1" t="str">
        <f t="shared" si="13"/>
        <v/>
      </c>
      <c r="T153" s="1"/>
      <c r="U153" s="35" t="str">
        <f t="shared" si="12"/>
        <v/>
      </c>
    </row>
    <row r="154" spans="12:21" x14ac:dyDescent="0.25">
      <c r="L154" s="26">
        <v>151</v>
      </c>
      <c r="M154" t="s">
        <v>169</v>
      </c>
      <c r="N154" s="1" t="str">
        <f t="shared" si="10"/>
        <v/>
      </c>
      <c r="O154" s="31"/>
      <c r="P154" s="34" t="str">
        <f t="shared" si="11"/>
        <v/>
      </c>
      <c r="R154" t="s">
        <v>169</v>
      </c>
      <c r="S154" s="1" t="str">
        <f t="shared" si="13"/>
        <v/>
      </c>
      <c r="T154" s="1"/>
      <c r="U154" s="35" t="str">
        <f t="shared" si="12"/>
        <v/>
      </c>
    </row>
    <row r="155" spans="12:21" x14ac:dyDescent="0.25">
      <c r="L155" s="26">
        <v>152</v>
      </c>
      <c r="M155" t="s">
        <v>168</v>
      </c>
      <c r="N155" s="1" t="str">
        <f t="shared" si="10"/>
        <v/>
      </c>
      <c r="O155" s="31"/>
      <c r="P155" s="34" t="str">
        <f t="shared" si="11"/>
        <v/>
      </c>
      <c r="R155" t="s">
        <v>168</v>
      </c>
      <c r="S155" s="1" t="str">
        <f t="shared" si="13"/>
        <v/>
      </c>
      <c r="T155" s="1"/>
      <c r="U155" s="35" t="str">
        <f t="shared" si="12"/>
        <v/>
      </c>
    </row>
    <row r="156" spans="12:21" x14ac:dyDescent="0.25">
      <c r="L156" s="26">
        <v>153</v>
      </c>
      <c r="M156" t="s">
        <v>167</v>
      </c>
      <c r="N156" s="1" t="str">
        <f t="shared" si="10"/>
        <v/>
      </c>
      <c r="O156" s="31"/>
      <c r="P156" s="34" t="str">
        <f t="shared" si="11"/>
        <v/>
      </c>
      <c r="R156" t="s">
        <v>167</v>
      </c>
      <c r="S156" s="1" t="str">
        <f t="shared" si="13"/>
        <v/>
      </c>
      <c r="T156" s="1"/>
      <c r="U156" s="35" t="str">
        <f t="shared" si="12"/>
        <v/>
      </c>
    </row>
    <row r="157" spans="12:21" x14ac:dyDescent="0.25">
      <c r="L157" s="26">
        <v>154</v>
      </c>
      <c r="M157" t="s">
        <v>166</v>
      </c>
      <c r="N157" s="1" t="str">
        <f t="shared" si="10"/>
        <v/>
      </c>
      <c r="O157" s="31"/>
      <c r="P157" s="34" t="str">
        <f t="shared" si="11"/>
        <v/>
      </c>
      <c r="R157" t="s">
        <v>166</v>
      </c>
      <c r="S157" s="1" t="str">
        <f t="shared" si="13"/>
        <v/>
      </c>
      <c r="T157" s="1"/>
      <c r="U157" s="35" t="str">
        <f t="shared" si="12"/>
        <v/>
      </c>
    </row>
    <row r="158" spans="12:21" x14ac:dyDescent="0.25">
      <c r="L158" s="26">
        <v>155</v>
      </c>
      <c r="M158" t="s">
        <v>165</v>
      </c>
      <c r="N158" s="1" t="str">
        <f t="shared" si="10"/>
        <v/>
      </c>
      <c r="O158" s="31"/>
      <c r="P158" s="34" t="str">
        <f t="shared" si="11"/>
        <v/>
      </c>
      <c r="R158" t="s">
        <v>165</v>
      </c>
      <c r="S158" s="1" t="str">
        <f t="shared" si="13"/>
        <v/>
      </c>
      <c r="T158" s="1"/>
      <c r="U158" s="35" t="str">
        <f t="shared" si="12"/>
        <v/>
      </c>
    </row>
    <row r="159" spans="12:21" x14ac:dyDescent="0.25">
      <c r="L159" s="26">
        <v>156</v>
      </c>
      <c r="M159" t="s">
        <v>164</v>
      </c>
      <c r="N159" s="1" t="str">
        <f t="shared" si="10"/>
        <v/>
      </c>
      <c r="O159" s="31"/>
      <c r="P159" s="34" t="str">
        <f t="shared" si="11"/>
        <v/>
      </c>
      <c r="R159" t="s">
        <v>164</v>
      </c>
      <c r="S159" s="1" t="str">
        <f t="shared" si="13"/>
        <v/>
      </c>
      <c r="T159" s="1"/>
      <c r="U159" s="35" t="str">
        <f t="shared" si="12"/>
        <v/>
      </c>
    </row>
    <row r="160" spans="12:21" x14ac:dyDescent="0.25">
      <c r="L160" s="26">
        <v>157</v>
      </c>
      <c r="M160" t="s">
        <v>163</v>
      </c>
      <c r="N160" s="1" t="str">
        <f t="shared" si="10"/>
        <v/>
      </c>
      <c r="O160" s="31"/>
      <c r="P160" s="34" t="str">
        <f t="shared" si="11"/>
        <v/>
      </c>
      <c r="R160" t="s">
        <v>163</v>
      </c>
      <c r="S160" s="1" t="str">
        <f t="shared" si="13"/>
        <v/>
      </c>
      <c r="T160" s="1"/>
      <c r="U160" s="35" t="str">
        <f t="shared" si="12"/>
        <v/>
      </c>
    </row>
    <row r="161" spans="12:21" x14ac:dyDescent="0.25">
      <c r="L161" s="26">
        <v>158</v>
      </c>
      <c r="M161" t="s">
        <v>162</v>
      </c>
      <c r="N161" s="1" t="str">
        <f t="shared" si="10"/>
        <v/>
      </c>
      <c r="O161" s="31"/>
      <c r="P161" s="34" t="str">
        <f t="shared" si="11"/>
        <v/>
      </c>
      <c r="R161" t="s">
        <v>162</v>
      </c>
      <c r="S161" s="1" t="str">
        <f t="shared" si="13"/>
        <v/>
      </c>
      <c r="T161" s="1"/>
      <c r="U161" s="35" t="str">
        <f t="shared" si="12"/>
        <v/>
      </c>
    </row>
    <row r="162" spans="12:21" x14ac:dyDescent="0.25">
      <c r="L162" s="26">
        <v>159</v>
      </c>
      <c r="M162" t="s">
        <v>161</v>
      </c>
      <c r="N162" s="1" t="str">
        <f t="shared" si="10"/>
        <v/>
      </c>
      <c r="O162" s="31"/>
      <c r="P162" s="34" t="str">
        <f t="shared" si="11"/>
        <v/>
      </c>
      <c r="R162" t="s">
        <v>161</v>
      </c>
      <c r="S162" s="1" t="str">
        <f t="shared" si="13"/>
        <v/>
      </c>
      <c r="T162" s="1"/>
      <c r="U162" s="35" t="str">
        <f t="shared" si="12"/>
        <v/>
      </c>
    </row>
    <row r="163" spans="12:21" x14ac:dyDescent="0.25">
      <c r="L163" s="26">
        <v>160</v>
      </c>
      <c r="M163" t="s">
        <v>160</v>
      </c>
      <c r="N163" s="1" t="str">
        <f t="shared" si="10"/>
        <v/>
      </c>
      <c r="O163" s="31"/>
      <c r="P163" s="34" t="str">
        <f t="shared" si="11"/>
        <v/>
      </c>
      <c r="R163" t="s">
        <v>160</v>
      </c>
      <c r="S163" s="1" t="str">
        <f t="shared" si="13"/>
        <v/>
      </c>
      <c r="T163" s="1"/>
      <c r="U163" s="35" t="str">
        <f t="shared" si="12"/>
        <v/>
      </c>
    </row>
    <row r="164" spans="12:21" x14ac:dyDescent="0.25">
      <c r="L164" s="26">
        <v>161</v>
      </c>
      <c r="M164" t="s">
        <v>159</v>
      </c>
      <c r="N164" s="1" t="str">
        <f t="shared" si="10"/>
        <v/>
      </c>
      <c r="O164" s="31"/>
      <c r="P164" s="34" t="str">
        <f t="shared" si="11"/>
        <v/>
      </c>
      <c r="R164" t="s">
        <v>159</v>
      </c>
      <c r="S164" s="1" t="str">
        <f t="shared" si="13"/>
        <v/>
      </c>
      <c r="T164" s="1"/>
      <c r="U164" s="35" t="str">
        <f t="shared" si="12"/>
        <v/>
      </c>
    </row>
    <row r="165" spans="12:21" x14ac:dyDescent="0.25">
      <c r="L165" s="26">
        <v>162</v>
      </c>
      <c r="M165" t="s">
        <v>158</v>
      </c>
      <c r="N165" s="1" t="str">
        <f t="shared" si="10"/>
        <v/>
      </c>
      <c r="O165" s="31"/>
      <c r="P165" s="34" t="str">
        <f t="shared" si="11"/>
        <v/>
      </c>
      <c r="R165" t="s">
        <v>158</v>
      </c>
      <c r="S165" s="1" t="str">
        <f t="shared" si="13"/>
        <v/>
      </c>
      <c r="T165" s="1"/>
      <c r="U165" s="35" t="str">
        <f t="shared" si="12"/>
        <v/>
      </c>
    </row>
    <row r="166" spans="12:21" x14ac:dyDescent="0.25">
      <c r="L166" s="26">
        <v>163</v>
      </c>
      <c r="M166" t="s">
        <v>157</v>
      </c>
      <c r="N166" s="1" t="str">
        <f t="shared" si="10"/>
        <v/>
      </c>
      <c r="O166" s="31"/>
      <c r="P166" s="34" t="str">
        <f t="shared" si="11"/>
        <v/>
      </c>
      <c r="R166" t="s">
        <v>157</v>
      </c>
      <c r="S166" s="1" t="str">
        <f t="shared" si="13"/>
        <v/>
      </c>
      <c r="T166" s="1"/>
      <c r="U166" s="35" t="str">
        <f t="shared" si="12"/>
        <v/>
      </c>
    </row>
    <row r="167" spans="12:21" x14ac:dyDescent="0.25">
      <c r="L167" s="26">
        <v>164</v>
      </c>
      <c r="M167" t="s">
        <v>156</v>
      </c>
      <c r="N167" s="1" t="str">
        <f t="shared" si="10"/>
        <v/>
      </c>
      <c r="O167" s="31"/>
      <c r="P167" s="34" t="str">
        <f t="shared" si="11"/>
        <v/>
      </c>
      <c r="R167" t="s">
        <v>156</v>
      </c>
      <c r="S167" s="1" t="str">
        <f t="shared" si="13"/>
        <v/>
      </c>
      <c r="T167" s="1"/>
      <c r="U167" s="35" t="str">
        <f t="shared" si="12"/>
        <v/>
      </c>
    </row>
    <row r="168" spans="12:21" x14ac:dyDescent="0.25">
      <c r="L168" s="26">
        <v>165</v>
      </c>
      <c r="M168" t="s">
        <v>155</v>
      </c>
      <c r="N168" s="1" t="str">
        <f t="shared" si="10"/>
        <v/>
      </c>
      <c r="O168" s="31"/>
      <c r="P168" s="34" t="str">
        <f t="shared" si="11"/>
        <v/>
      </c>
      <c r="R168" t="s">
        <v>155</v>
      </c>
      <c r="S168" s="1" t="str">
        <f t="shared" si="13"/>
        <v/>
      </c>
      <c r="T168" s="1"/>
      <c r="U168" s="35" t="str">
        <f t="shared" si="12"/>
        <v/>
      </c>
    </row>
    <row r="169" spans="12:21" x14ac:dyDescent="0.25">
      <c r="L169" s="26">
        <v>166</v>
      </c>
      <c r="M169" t="s">
        <v>154</v>
      </c>
      <c r="N169" s="1" t="str">
        <f t="shared" si="10"/>
        <v/>
      </c>
      <c r="O169" s="31"/>
      <c r="P169" s="34" t="str">
        <f t="shared" si="11"/>
        <v/>
      </c>
      <c r="R169" t="s">
        <v>154</v>
      </c>
      <c r="S169" s="1" t="str">
        <f t="shared" si="13"/>
        <v/>
      </c>
      <c r="T169" s="1"/>
      <c r="U169" s="35" t="str">
        <f t="shared" si="12"/>
        <v/>
      </c>
    </row>
    <row r="170" spans="12:21" x14ac:dyDescent="0.25">
      <c r="L170" s="26">
        <v>167</v>
      </c>
      <c r="M170" t="s">
        <v>153</v>
      </c>
      <c r="N170" s="1" t="str">
        <f t="shared" si="10"/>
        <v/>
      </c>
      <c r="O170" s="31"/>
      <c r="P170" s="34" t="str">
        <f t="shared" si="11"/>
        <v/>
      </c>
      <c r="R170" t="s">
        <v>153</v>
      </c>
      <c r="S170" s="1" t="str">
        <f t="shared" si="13"/>
        <v/>
      </c>
      <c r="T170" s="1"/>
      <c r="U170" s="35" t="str">
        <f t="shared" si="12"/>
        <v/>
      </c>
    </row>
    <row r="171" spans="12:21" x14ac:dyDescent="0.25">
      <c r="L171" s="26">
        <v>168</v>
      </c>
      <c r="M171" t="s">
        <v>152</v>
      </c>
      <c r="N171" s="1" t="str">
        <f t="shared" si="10"/>
        <v/>
      </c>
      <c r="O171" s="31"/>
      <c r="P171" s="34" t="str">
        <f t="shared" si="11"/>
        <v/>
      </c>
      <c r="R171" t="s">
        <v>152</v>
      </c>
      <c r="S171" s="1" t="str">
        <f t="shared" si="13"/>
        <v/>
      </c>
      <c r="T171" s="1"/>
      <c r="U171" s="35" t="str">
        <f t="shared" si="12"/>
        <v/>
      </c>
    </row>
    <row r="172" spans="12:21" x14ac:dyDescent="0.25">
      <c r="L172" s="26">
        <v>169</v>
      </c>
      <c r="M172" t="s">
        <v>151</v>
      </c>
      <c r="N172" s="1" t="str">
        <f t="shared" si="10"/>
        <v/>
      </c>
      <c r="O172" s="31"/>
      <c r="P172" s="34" t="str">
        <f t="shared" si="11"/>
        <v/>
      </c>
      <c r="R172" t="s">
        <v>151</v>
      </c>
      <c r="S172" s="1" t="str">
        <f t="shared" si="13"/>
        <v/>
      </c>
      <c r="T172" s="1"/>
      <c r="U172" s="35" t="str">
        <f t="shared" si="12"/>
        <v/>
      </c>
    </row>
    <row r="173" spans="12:21" x14ac:dyDescent="0.25">
      <c r="L173" s="26">
        <v>170</v>
      </c>
      <c r="M173" t="s">
        <v>150</v>
      </c>
      <c r="N173" s="1" t="str">
        <f t="shared" si="10"/>
        <v/>
      </c>
      <c r="O173" s="31"/>
      <c r="P173" s="34" t="str">
        <f t="shared" si="11"/>
        <v/>
      </c>
      <c r="R173" t="s">
        <v>150</v>
      </c>
      <c r="S173" s="1" t="str">
        <f t="shared" si="13"/>
        <v/>
      </c>
      <c r="T173" s="1"/>
      <c r="U173" s="35" t="str">
        <f t="shared" si="12"/>
        <v/>
      </c>
    </row>
    <row r="174" spans="12:21" x14ac:dyDescent="0.25">
      <c r="L174" s="26">
        <v>171</v>
      </c>
      <c r="M174" t="s">
        <v>149</v>
      </c>
      <c r="N174" s="1" t="str">
        <f t="shared" si="10"/>
        <v/>
      </c>
      <c r="O174" s="31"/>
      <c r="P174" s="34" t="str">
        <f t="shared" si="11"/>
        <v/>
      </c>
      <c r="R174" t="s">
        <v>149</v>
      </c>
      <c r="S174" s="1" t="str">
        <f t="shared" si="13"/>
        <v/>
      </c>
      <c r="T174" s="1"/>
      <c r="U174" s="35" t="str">
        <f t="shared" si="12"/>
        <v/>
      </c>
    </row>
    <row r="175" spans="12:21" x14ac:dyDescent="0.25">
      <c r="L175" s="26">
        <v>172</v>
      </c>
      <c r="M175" t="s">
        <v>148</v>
      </c>
      <c r="N175" s="1" t="str">
        <f t="shared" si="10"/>
        <v/>
      </c>
      <c r="O175" s="31"/>
      <c r="P175" s="34" t="str">
        <f t="shared" si="11"/>
        <v/>
      </c>
      <c r="R175" t="s">
        <v>148</v>
      </c>
      <c r="S175" s="1" t="str">
        <f t="shared" si="13"/>
        <v/>
      </c>
      <c r="T175" s="1"/>
      <c r="U175" s="35" t="str">
        <f t="shared" si="12"/>
        <v/>
      </c>
    </row>
    <row r="176" spans="12:21" x14ac:dyDescent="0.25">
      <c r="L176" s="26">
        <v>173</v>
      </c>
      <c r="M176" t="s">
        <v>147</v>
      </c>
      <c r="N176" s="1" t="str">
        <f t="shared" si="10"/>
        <v/>
      </c>
      <c r="O176" s="31"/>
      <c r="P176" s="34" t="str">
        <f t="shared" si="11"/>
        <v/>
      </c>
      <c r="R176" t="s">
        <v>147</v>
      </c>
      <c r="S176" s="1" t="str">
        <f t="shared" si="13"/>
        <v/>
      </c>
      <c r="T176" s="1"/>
      <c r="U176" s="35" t="str">
        <f t="shared" si="12"/>
        <v/>
      </c>
    </row>
    <row r="177" spans="12:21" x14ac:dyDescent="0.25">
      <c r="L177" s="26">
        <v>174</v>
      </c>
      <c r="M177" t="s">
        <v>146</v>
      </c>
      <c r="N177" s="1" t="str">
        <f t="shared" si="10"/>
        <v/>
      </c>
      <c r="O177" s="31"/>
      <c r="P177" s="34" t="str">
        <f t="shared" si="11"/>
        <v/>
      </c>
      <c r="R177" t="s">
        <v>146</v>
      </c>
      <c r="S177" s="1" t="str">
        <f t="shared" si="13"/>
        <v/>
      </c>
      <c r="T177" s="1"/>
      <c r="U177" s="35" t="str">
        <f t="shared" si="12"/>
        <v/>
      </c>
    </row>
    <row r="178" spans="12:21" x14ac:dyDescent="0.25">
      <c r="L178" s="26">
        <v>175</v>
      </c>
      <c r="M178" t="s">
        <v>145</v>
      </c>
      <c r="N178" s="1" t="str">
        <f t="shared" si="10"/>
        <v/>
      </c>
      <c r="O178" s="31"/>
      <c r="P178" s="34" t="str">
        <f t="shared" si="11"/>
        <v/>
      </c>
      <c r="R178" t="s">
        <v>145</v>
      </c>
      <c r="S178" s="1" t="str">
        <f t="shared" si="13"/>
        <v/>
      </c>
      <c r="T178" s="1"/>
      <c r="U178" s="35" t="str">
        <f t="shared" si="12"/>
        <v/>
      </c>
    </row>
    <row r="179" spans="12:21" x14ac:dyDescent="0.25">
      <c r="L179" s="26">
        <v>176</v>
      </c>
      <c r="M179" t="s">
        <v>144</v>
      </c>
      <c r="N179" s="1" t="str">
        <f t="shared" si="10"/>
        <v/>
      </c>
      <c r="O179" s="31"/>
      <c r="P179" s="34" t="str">
        <f t="shared" si="11"/>
        <v/>
      </c>
      <c r="R179" t="s">
        <v>144</v>
      </c>
      <c r="S179" s="1" t="str">
        <f t="shared" si="13"/>
        <v/>
      </c>
      <c r="T179" s="1"/>
      <c r="U179" s="35" t="str">
        <f t="shared" si="12"/>
        <v/>
      </c>
    </row>
    <row r="180" spans="12:21" x14ac:dyDescent="0.25">
      <c r="L180" s="26">
        <v>177</v>
      </c>
      <c r="M180" t="s">
        <v>143</v>
      </c>
      <c r="N180" s="1" t="str">
        <f t="shared" si="10"/>
        <v/>
      </c>
      <c r="O180" s="31"/>
      <c r="P180" s="34" t="str">
        <f t="shared" si="11"/>
        <v/>
      </c>
      <c r="R180" t="s">
        <v>143</v>
      </c>
      <c r="S180" s="1" t="str">
        <f t="shared" si="13"/>
        <v/>
      </c>
      <c r="T180" s="1"/>
      <c r="U180" s="35" t="str">
        <f t="shared" si="12"/>
        <v/>
      </c>
    </row>
    <row r="181" spans="12:21" x14ac:dyDescent="0.25">
      <c r="L181" s="26">
        <v>178</v>
      </c>
      <c r="M181" t="s">
        <v>142</v>
      </c>
      <c r="N181" s="1" t="str">
        <f t="shared" si="10"/>
        <v/>
      </c>
      <c r="O181" s="31"/>
      <c r="P181" s="34" t="str">
        <f t="shared" si="11"/>
        <v/>
      </c>
      <c r="R181" t="s">
        <v>142</v>
      </c>
      <c r="S181" s="1" t="str">
        <f t="shared" si="13"/>
        <v/>
      </c>
      <c r="T181" s="1"/>
      <c r="U181" s="35" t="str">
        <f t="shared" si="12"/>
        <v/>
      </c>
    </row>
    <row r="182" spans="12:21" x14ac:dyDescent="0.25">
      <c r="L182" s="26">
        <v>179</v>
      </c>
      <c r="M182" t="s">
        <v>141</v>
      </c>
      <c r="N182" s="1" t="str">
        <f t="shared" si="10"/>
        <v/>
      </c>
      <c r="O182" s="31"/>
      <c r="P182" s="34" t="str">
        <f t="shared" si="11"/>
        <v/>
      </c>
      <c r="R182" t="s">
        <v>141</v>
      </c>
      <c r="S182" s="1" t="str">
        <f t="shared" si="13"/>
        <v/>
      </c>
      <c r="T182" s="1"/>
      <c r="U182" s="35" t="str">
        <f t="shared" si="12"/>
        <v/>
      </c>
    </row>
    <row r="183" spans="12:21" x14ac:dyDescent="0.25">
      <c r="L183" s="26">
        <v>180</v>
      </c>
      <c r="M183" t="s">
        <v>140</v>
      </c>
      <c r="N183" s="1" t="str">
        <f t="shared" si="10"/>
        <v/>
      </c>
      <c r="O183" s="31"/>
      <c r="P183" s="34" t="str">
        <f t="shared" si="11"/>
        <v/>
      </c>
      <c r="R183" t="s">
        <v>140</v>
      </c>
      <c r="S183" s="1" t="str">
        <f t="shared" si="13"/>
        <v/>
      </c>
      <c r="T183" s="1"/>
      <c r="U183" s="35" t="str">
        <f t="shared" si="12"/>
        <v/>
      </c>
    </row>
    <row r="184" spans="12:21" x14ac:dyDescent="0.25">
      <c r="L184" s="26">
        <v>181</v>
      </c>
      <c r="M184" t="s">
        <v>139</v>
      </c>
      <c r="N184" s="1" t="str">
        <f t="shared" si="10"/>
        <v/>
      </c>
      <c r="O184" s="31"/>
      <c r="P184" s="34" t="str">
        <f t="shared" si="11"/>
        <v/>
      </c>
      <c r="R184" t="s">
        <v>139</v>
      </c>
      <c r="S184" s="1" t="str">
        <f t="shared" si="13"/>
        <v/>
      </c>
      <c r="T184" s="1"/>
      <c r="U184" s="35" t="str">
        <f t="shared" si="12"/>
        <v/>
      </c>
    </row>
    <row r="185" spans="12:21" x14ac:dyDescent="0.25">
      <c r="L185" s="26">
        <v>182</v>
      </c>
      <c r="M185" t="s">
        <v>138</v>
      </c>
      <c r="N185" s="1" t="str">
        <f t="shared" si="10"/>
        <v/>
      </c>
      <c r="O185" s="31"/>
      <c r="P185" s="34" t="str">
        <f t="shared" si="11"/>
        <v/>
      </c>
      <c r="R185" t="s">
        <v>138</v>
      </c>
      <c r="S185" s="1" t="str">
        <f t="shared" si="13"/>
        <v/>
      </c>
      <c r="T185" s="1"/>
      <c r="U185" s="35" t="str">
        <f t="shared" si="12"/>
        <v/>
      </c>
    </row>
    <row r="186" spans="12:21" x14ac:dyDescent="0.25">
      <c r="L186" s="26">
        <v>183</v>
      </c>
      <c r="M186" t="s">
        <v>137</v>
      </c>
      <c r="N186" s="1" t="str">
        <f t="shared" si="10"/>
        <v/>
      </c>
      <c r="O186" s="31"/>
      <c r="P186" s="34" t="str">
        <f t="shared" si="11"/>
        <v/>
      </c>
      <c r="R186" t="s">
        <v>137</v>
      </c>
      <c r="S186" s="1" t="str">
        <f t="shared" si="13"/>
        <v/>
      </c>
      <c r="T186" s="1"/>
      <c r="U186" s="35" t="str">
        <f t="shared" si="12"/>
        <v/>
      </c>
    </row>
    <row r="187" spans="12:21" x14ac:dyDescent="0.25">
      <c r="L187" s="26">
        <v>184</v>
      </c>
      <c r="M187" t="s">
        <v>136</v>
      </c>
      <c r="N187" s="1" t="str">
        <f t="shared" si="10"/>
        <v/>
      </c>
      <c r="O187" s="31"/>
      <c r="P187" s="34" t="str">
        <f t="shared" si="11"/>
        <v/>
      </c>
      <c r="R187" t="s">
        <v>136</v>
      </c>
      <c r="S187" s="1" t="str">
        <f t="shared" si="13"/>
        <v/>
      </c>
      <c r="T187" s="1"/>
      <c r="U187" s="35" t="str">
        <f t="shared" si="12"/>
        <v/>
      </c>
    </row>
    <row r="188" spans="12:21" x14ac:dyDescent="0.25">
      <c r="L188" s="26">
        <v>185</v>
      </c>
      <c r="M188" t="s">
        <v>135</v>
      </c>
      <c r="N188" s="1" t="str">
        <f t="shared" si="10"/>
        <v/>
      </c>
      <c r="O188" s="31"/>
      <c r="P188" s="34" t="str">
        <f t="shared" si="11"/>
        <v/>
      </c>
      <c r="R188" t="s">
        <v>135</v>
      </c>
      <c r="S188" s="1" t="str">
        <f t="shared" si="13"/>
        <v/>
      </c>
      <c r="T188" s="1"/>
      <c r="U188" s="35" t="str">
        <f t="shared" si="12"/>
        <v/>
      </c>
    </row>
    <row r="189" spans="12:21" x14ac:dyDescent="0.25">
      <c r="L189" s="26">
        <v>186</v>
      </c>
      <c r="M189" t="s">
        <v>134</v>
      </c>
      <c r="N189" s="1" t="str">
        <f t="shared" si="10"/>
        <v/>
      </c>
      <c r="O189" s="31"/>
      <c r="P189" s="34" t="str">
        <f t="shared" si="11"/>
        <v/>
      </c>
      <c r="R189" t="s">
        <v>134</v>
      </c>
      <c r="S189" s="1" t="str">
        <f t="shared" si="13"/>
        <v/>
      </c>
      <c r="T189" s="1"/>
      <c r="U189" s="35" t="str">
        <f t="shared" si="12"/>
        <v/>
      </c>
    </row>
    <row r="190" spans="12:21" x14ac:dyDescent="0.25">
      <c r="L190" s="26">
        <v>187</v>
      </c>
      <c r="M190" t="s">
        <v>133</v>
      </c>
      <c r="N190" s="1" t="str">
        <f t="shared" si="10"/>
        <v/>
      </c>
      <c r="O190" s="31"/>
      <c r="P190" s="34" t="str">
        <f t="shared" si="11"/>
        <v/>
      </c>
      <c r="R190" t="s">
        <v>133</v>
      </c>
      <c r="S190" s="1" t="str">
        <f t="shared" si="13"/>
        <v/>
      </c>
      <c r="T190" s="1"/>
      <c r="U190" s="35" t="str">
        <f t="shared" si="12"/>
        <v/>
      </c>
    </row>
    <row r="191" spans="12:21" x14ac:dyDescent="0.25">
      <c r="L191" s="26">
        <v>188</v>
      </c>
      <c r="M191" t="s">
        <v>132</v>
      </c>
      <c r="N191" s="1" t="str">
        <f t="shared" si="10"/>
        <v/>
      </c>
      <c r="O191" s="31"/>
      <c r="P191" s="34" t="str">
        <f t="shared" si="11"/>
        <v/>
      </c>
      <c r="R191" t="s">
        <v>132</v>
      </c>
      <c r="S191" s="1" t="str">
        <f t="shared" si="13"/>
        <v/>
      </c>
      <c r="T191" s="1"/>
      <c r="U191" s="35" t="str">
        <f t="shared" si="12"/>
        <v/>
      </c>
    </row>
    <row r="192" spans="12:21" x14ac:dyDescent="0.25">
      <c r="L192" s="26">
        <v>189</v>
      </c>
      <c r="M192" t="s">
        <v>131</v>
      </c>
      <c r="N192" s="1" t="str">
        <f t="shared" si="10"/>
        <v/>
      </c>
      <c r="O192" s="31"/>
      <c r="P192" s="34" t="str">
        <f t="shared" si="11"/>
        <v/>
      </c>
      <c r="R192" t="s">
        <v>131</v>
      </c>
      <c r="S192" s="1" t="str">
        <f t="shared" si="13"/>
        <v/>
      </c>
      <c r="T192" s="1"/>
      <c r="U192" s="35" t="str">
        <f t="shared" si="12"/>
        <v/>
      </c>
    </row>
    <row r="193" spans="12:21" x14ac:dyDescent="0.25">
      <c r="L193" s="26">
        <v>190</v>
      </c>
      <c r="M193" t="s">
        <v>130</v>
      </c>
      <c r="N193" s="1" t="str">
        <f t="shared" si="10"/>
        <v/>
      </c>
      <c r="O193" s="31"/>
      <c r="P193" s="34" t="str">
        <f t="shared" si="11"/>
        <v/>
      </c>
      <c r="R193" t="s">
        <v>130</v>
      </c>
      <c r="S193" s="1" t="str">
        <f t="shared" si="13"/>
        <v/>
      </c>
      <c r="T193" s="1"/>
      <c r="U193" s="35" t="str">
        <f t="shared" si="12"/>
        <v/>
      </c>
    </row>
    <row r="194" spans="12:21" x14ac:dyDescent="0.25">
      <c r="L194" s="26">
        <v>191</v>
      </c>
      <c r="M194" t="s">
        <v>129</v>
      </c>
      <c r="N194" s="1" t="str">
        <f t="shared" si="10"/>
        <v/>
      </c>
      <c r="O194" s="31"/>
      <c r="P194" s="34" t="str">
        <f t="shared" si="11"/>
        <v/>
      </c>
      <c r="R194" t="s">
        <v>129</v>
      </c>
      <c r="S194" s="1" t="str">
        <f t="shared" si="13"/>
        <v/>
      </c>
      <c r="T194" s="1"/>
      <c r="U194" s="35" t="str">
        <f t="shared" si="12"/>
        <v/>
      </c>
    </row>
    <row r="195" spans="12:21" x14ac:dyDescent="0.25">
      <c r="L195" s="26">
        <v>192</v>
      </c>
      <c r="M195" t="s">
        <v>128</v>
      </c>
      <c r="N195" s="1" t="str">
        <f t="shared" si="10"/>
        <v/>
      </c>
      <c r="O195" s="31"/>
      <c r="P195" s="34" t="str">
        <f t="shared" si="11"/>
        <v/>
      </c>
      <c r="R195" t="s">
        <v>128</v>
      </c>
      <c r="S195" s="1" t="str">
        <f t="shared" si="13"/>
        <v/>
      </c>
      <c r="T195" s="1"/>
      <c r="U195" s="35" t="str">
        <f t="shared" si="12"/>
        <v/>
      </c>
    </row>
    <row r="196" spans="12:21" x14ac:dyDescent="0.25">
      <c r="L196" s="26">
        <v>193</v>
      </c>
      <c r="M196" t="s">
        <v>127</v>
      </c>
      <c r="N196" s="1" t="str">
        <f t="shared" si="10"/>
        <v/>
      </c>
      <c r="O196" s="31"/>
      <c r="P196" s="34" t="str">
        <f t="shared" si="11"/>
        <v/>
      </c>
      <c r="R196" t="s">
        <v>127</v>
      </c>
      <c r="S196" s="1" t="str">
        <f t="shared" si="13"/>
        <v/>
      </c>
      <c r="T196" s="1"/>
      <c r="U196" s="35" t="str">
        <f t="shared" si="12"/>
        <v/>
      </c>
    </row>
    <row r="197" spans="12:21" x14ac:dyDescent="0.25">
      <c r="L197" s="26">
        <v>194</v>
      </c>
      <c r="M197" t="s">
        <v>126</v>
      </c>
      <c r="N197" s="1" t="str">
        <f t="shared" ref="N197:N252" si="14">IF(L197&gt;$I$2,"",F197/$D$3-1)</f>
        <v/>
      </c>
      <c r="O197" s="31"/>
      <c r="P197" s="34" t="str">
        <f t="shared" ref="P197:P253" si="15">IF(AND(L197&lt;=$I$2,N197&lt;= -0.1),1,"")</f>
        <v/>
      </c>
      <c r="R197" t="s">
        <v>126</v>
      </c>
      <c r="S197" s="1" t="str">
        <f t="shared" si="13"/>
        <v/>
      </c>
      <c r="T197" s="1"/>
      <c r="U197" s="35" t="str">
        <f t="shared" ref="U197:U253" si="16">IF(AND(L197&lt;=$I$2,S197&gt;=0.2),1,"")</f>
        <v/>
      </c>
    </row>
    <row r="198" spans="12:21" x14ac:dyDescent="0.25">
      <c r="L198" s="26">
        <v>195</v>
      </c>
      <c r="M198" t="s">
        <v>125</v>
      </c>
      <c r="N198" s="1" t="str">
        <f t="shared" si="14"/>
        <v/>
      </c>
      <c r="O198" s="31"/>
      <c r="P198" s="34" t="str">
        <f t="shared" si="15"/>
        <v/>
      </c>
      <c r="R198" t="s">
        <v>125</v>
      </c>
      <c r="S198" s="1" t="str">
        <f t="shared" si="13"/>
        <v/>
      </c>
      <c r="T198" s="1"/>
      <c r="U198" s="35" t="str">
        <f t="shared" si="16"/>
        <v/>
      </c>
    </row>
    <row r="199" spans="12:21" x14ac:dyDescent="0.25">
      <c r="L199" s="26">
        <v>196</v>
      </c>
      <c r="M199" t="s">
        <v>124</v>
      </c>
      <c r="N199" s="1" t="str">
        <f t="shared" si="14"/>
        <v/>
      </c>
      <c r="O199" s="31"/>
      <c r="P199" s="34" t="str">
        <f t="shared" si="15"/>
        <v/>
      </c>
      <c r="R199" t="s">
        <v>124</v>
      </c>
      <c r="S199" s="1" t="str">
        <f t="shared" si="13"/>
        <v/>
      </c>
      <c r="T199" s="1"/>
      <c r="U199" s="35" t="str">
        <f t="shared" si="16"/>
        <v/>
      </c>
    </row>
    <row r="200" spans="12:21" x14ac:dyDescent="0.25">
      <c r="L200" s="26">
        <v>197</v>
      </c>
      <c r="M200" t="s">
        <v>123</v>
      </c>
      <c r="N200" s="1" t="str">
        <f t="shared" si="14"/>
        <v/>
      </c>
      <c r="O200" s="31"/>
      <c r="P200" s="34" t="str">
        <f t="shared" si="15"/>
        <v/>
      </c>
      <c r="R200" t="s">
        <v>123</v>
      </c>
      <c r="S200" s="1" t="str">
        <f t="shared" si="13"/>
        <v/>
      </c>
      <c r="T200" s="1"/>
      <c r="U200" s="35" t="str">
        <f t="shared" si="16"/>
        <v/>
      </c>
    </row>
    <row r="201" spans="12:21" x14ac:dyDescent="0.25">
      <c r="L201" s="26">
        <v>198</v>
      </c>
      <c r="M201" t="s">
        <v>122</v>
      </c>
      <c r="N201" s="1" t="str">
        <f t="shared" si="14"/>
        <v/>
      </c>
      <c r="O201" s="31"/>
      <c r="P201" s="34" t="str">
        <f t="shared" si="15"/>
        <v/>
      </c>
      <c r="R201" t="s">
        <v>122</v>
      </c>
      <c r="S201" s="1" t="str">
        <f t="shared" si="13"/>
        <v/>
      </c>
      <c r="T201" s="1"/>
      <c r="U201" s="35" t="str">
        <f t="shared" si="16"/>
        <v/>
      </c>
    </row>
    <row r="202" spans="12:21" x14ac:dyDescent="0.25">
      <c r="L202" s="26">
        <v>199</v>
      </c>
      <c r="M202" t="s">
        <v>121</v>
      </c>
      <c r="N202" s="1" t="str">
        <f t="shared" si="14"/>
        <v/>
      </c>
      <c r="O202" s="31"/>
      <c r="P202" s="34" t="str">
        <f t="shared" si="15"/>
        <v/>
      </c>
      <c r="R202" t="s">
        <v>121</v>
      </c>
      <c r="S202" s="1" t="str">
        <f t="shared" si="13"/>
        <v/>
      </c>
      <c r="T202" s="1"/>
      <c r="U202" s="35" t="str">
        <f t="shared" si="16"/>
        <v/>
      </c>
    </row>
    <row r="203" spans="12:21" x14ac:dyDescent="0.25">
      <c r="L203" s="26">
        <v>200</v>
      </c>
      <c r="M203" t="s">
        <v>120</v>
      </c>
      <c r="N203" s="1" t="str">
        <f t="shared" si="14"/>
        <v/>
      </c>
      <c r="O203" s="31"/>
      <c r="P203" s="34" t="str">
        <f t="shared" si="15"/>
        <v/>
      </c>
      <c r="R203" t="s">
        <v>120</v>
      </c>
      <c r="S203" s="1" t="str">
        <f t="shared" si="13"/>
        <v/>
      </c>
      <c r="T203" s="1"/>
      <c r="U203" s="35" t="str">
        <f t="shared" si="16"/>
        <v/>
      </c>
    </row>
    <row r="204" spans="12:21" x14ac:dyDescent="0.25">
      <c r="L204" s="26">
        <v>201</v>
      </c>
      <c r="M204" t="s">
        <v>119</v>
      </c>
      <c r="N204" s="1" t="str">
        <f t="shared" si="14"/>
        <v/>
      </c>
      <c r="O204" s="31"/>
      <c r="P204" s="34" t="str">
        <f t="shared" si="15"/>
        <v/>
      </c>
      <c r="R204" t="s">
        <v>119</v>
      </c>
      <c r="S204" s="1" t="str">
        <f t="shared" si="13"/>
        <v/>
      </c>
      <c r="T204" s="1"/>
      <c r="U204" s="35" t="str">
        <f t="shared" si="16"/>
        <v/>
      </c>
    </row>
    <row r="205" spans="12:21" x14ac:dyDescent="0.25">
      <c r="L205" s="26">
        <v>202</v>
      </c>
      <c r="M205" t="s">
        <v>118</v>
      </c>
      <c r="N205" s="1" t="str">
        <f t="shared" si="14"/>
        <v/>
      </c>
      <c r="O205" s="31"/>
      <c r="P205" s="34" t="str">
        <f t="shared" si="15"/>
        <v/>
      </c>
      <c r="R205" t="s">
        <v>118</v>
      </c>
      <c r="S205" s="1" t="str">
        <f t="shared" si="13"/>
        <v/>
      </c>
      <c r="T205" s="1"/>
      <c r="U205" s="35" t="str">
        <f t="shared" si="16"/>
        <v/>
      </c>
    </row>
    <row r="206" spans="12:21" x14ac:dyDescent="0.25">
      <c r="L206" s="26">
        <v>203</v>
      </c>
      <c r="M206" t="s">
        <v>117</v>
      </c>
      <c r="N206" s="1" t="str">
        <f t="shared" si="14"/>
        <v/>
      </c>
      <c r="O206" s="31"/>
      <c r="P206" s="34" t="str">
        <f t="shared" si="15"/>
        <v/>
      </c>
      <c r="R206" t="s">
        <v>117</v>
      </c>
      <c r="S206" s="1" t="str">
        <f t="shared" si="13"/>
        <v/>
      </c>
      <c r="T206" s="1"/>
      <c r="U206" s="35" t="str">
        <f t="shared" si="16"/>
        <v/>
      </c>
    </row>
    <row r="207" spans="12:21" x14ac:dyDescent="0.25">
      <c r="L207" s="26">
        <v>204</v>
      </c>
      <c r="M207" t="s">
        <v>116</v>
      </c>
      <c r="N207" s="1" t="str">
        <f t="shared" si="14"/>
        <v/>
      </c>
      <c r="O207" s="31"/>
      <c r="P207" s="34" t="str">
        <f t="shared" si="15"/>
        <v/>
      </c>
      <c r="R207" t="s">
        <v>116</v>
      </c>
      <c r="S207" s="1" t="str">
        <f t="shared" si="13"/>
        <v/>
      </c>
      <c r="T207" s="1"/>
      <c r="U207" s="35" t="str">
        <f t="shared" si="16"/>
        <v/>
      </c>
    </row>
    <row r="208" spans="12:21" x14ac:dyDescent="0.25">
      <c r="L208" s="26">
        <v>205</v>
      </c>
      <c r="M208" t="s">
        <v>115</v>
      </c>
      <c r="N208" s="1" t="str">
        <f t="shared" si="14"/>
        <v/>
      </c>
      <c r="O208" s="31"/>
      <c r="P208" s="34" t="str">
        <f t="shared" si="15"/>
        <v/>
      </c>
      <c r="R208" t="s">
        <v>115</v>
      </c>
      <c r="S208" s="1" t="str">
        <f t="shared" si="13"/>
        <v/>
      </c>
      <c r="T208" s="1"/>
      <c r="U208" s="35" t="str">
        <f t="shared" si="16"/>
        <v/>
      </c>
    </row>
    <row r="209" spans="12:21" x14ac:dyDescent="0.25">
      <c r="L209" s="26">
        <v>206</v>
      </c>
      <c r="M209" t="s">
        <v>114</v>
      </c>
      <c r="N209" s="1" t="str">
        <f t="shared" si="14"/>
        <v/>
      </c>
      <c r="O209" s="31"/>
      <c r="P209" s="34" t="str">
        <f t="shared" si="15"/>
        <v/>
      </c>
      <c r="R209" t="s">
        <v>114</v>
      </c>
      <c r="S209" s="1" t="str">
        <f t="shared" si="13"/>
        <v/>
      </c>
      <c r="T209" s="1"/>
      <c r="U209" s="35" t="str">
        <f t="shared" si="16"/>
        <v/>
      </c>
    </row>
    <row r="210" spans="12:21" x14ac:dyDescent="0.25">
      <c r="L210" s="26">
        <v>207</v>
      </c>
      <c r="M210" t="s">
        <v>113</v>
      </c>
      <c r="N210" s="1" t="str">
        <f t="shared" si="14"/>
        <v/>
      </c>
      <c r="O210" s="31"/>
      <c r="P210" s="34" t="str">
        <f t="shared" si="15"/>
        <v/>
      </c>
      <c r="R210" t="s">
        <v>113</v>
      </c>
      <c r="S210" s="1" t="str">
        <f t="shared" si="13"/>
        <v/>
      </c>
      <c r="T210" s="1"/>
      <c r="U210" s="35" t="str">
        <f t="shared" si="16"/>
        <v/>
      </c>
    </row>
    <row r="211" spans="12:21" x14ac:dyDescent="0.25">
      <c r="L211" s="26">
        <v>208</v>
      </c>
      <c r="M211" t="s">
        <v>112</v>
      </c>
      <c r="N211" s="1" t="str">
        <f t="shared" si="14"/>
        <v/>
      </c>
      <c r="O211" s="31"/>
      <c r="P211" s="34" t="str">
        <f t="shared" si="15"/>
        <v/>
      </c>
      <c r="R211" t="s">
        <v>112</v>
      </c>
      <c r="S211" s="1" t="str">
        <f t="shared" si="13"/>
        <v/>
      </c>
      <c r="T211" s="1"/>
      <c r="U211" s="35" t="str">
        <f t="shared" si="16"/>
        <v/>
      </c>
    </row>
    <row r="212" spans="12:21" x14ac:dyDescent="0.25">
      <c r="L212" s="26">
        <v>209</v>
      </c>
      <c r="M212" t="s">
        <v>111</v>
      </c>
      <c r="N212" s="1" t="str">
        <f t="shared" si="14"/>
        <v/>
      </c>
      <c r="O212" s="31"/>
      <c r="P212" s="34" t="str">
        <f t="shared" si="15"/>
        <v/>
      </c>
      <c r="R212" t="s">
        <v>111</v>
      </c>
      <c r="S212" s="1" t="str">
        <f t="shared" si="13"/>
        <v/>
      </c>
      <c r="T212" s="1"/>
      <c r="U212" s="35" t="str">
        <f t="shared" si="16"/>
        <v/>
      </c>
    </row>
    <row r="213" spans="12:21" x14ac:dyDescent="0.25">
      <c r="L213" s="26">
        <v>210</v>
      </c>
      <c r="M213" t="s">
        <v>110</v>
      </c>
      <c r="N213" s="1" t="str">
        <f t="shared" si="14"/>
        <v/>
      </c>
      <c r="O213" s="31"/>
      <c r="P213" s="34" t="str">
        <f t="shared" si="15"/>
        <v/>
      </c>
      <c r="R213" t="s">
        <v>110</v>
      </c>
      <c r="S213" s="1" t="str">
        <f t="shared" si="13"/>
        <v/>
      </c>
      <c r="T213" s="1"/>
      <c r="U213" s="35" t="str">
        <f t="shared" si="16"/>
        <v/>
      </c>
    </row>
    <row r="214" spans="12:21" x14ac:dyDescent="0.25">
      <c r="L214" s="26">
        <v>211</v>
      </c>
      <c r="M214" t="s">
        <v>109</v>
      </c>
      <c r="N214" s="1" t="str">
        <f t="shared" si="14"/>
        <v/>
      </c>
      <c r="O214" s="31"/>
      <c r="P214" s="34" t="str">
        <f t="shared" si="15"/>
        <v/>
      </c>
      <c r="R214" t="s">
        <v>109</v>
      </c>
      <c r="S214" s="1" t="str">
        <f t="shared" si="13"/>
        <v/>
      </c>
      <c r="T214" s="1"/>
      <c r="U214" s="35" t="str">
        <f t="shared" si="16"/>
        <v/>
      </c>
    </row>
    <row r="215" spans="12:21" x14ac:dyDescent="0.25">
      <c r="L215" s="26">
        <v>212</v>
      </c>
      <c r="M215" t="s">
        <v>108</v>
      </c>
      <c r="N215" s="1" t="str">
        <f t="shared" si="14"/>
        <v/>
      </c>
      <c r="O215" s="31"/>
      <c r="P215" s="34" t="str">
        <f t="shared" si="15"/>
        <v/>
      </c>
      <c r="R215" t="s">
        <v>108</v>
      </c>
      <c r="S215" s="1" t="str">
        <f t="shared" si="13"/>
        <v/>
      </c>
      <c r="T215" s="1"/>
      <c r="U215" s="35" t="str">
        <f t="shared" si="16"/>
        <v/>
      </c>
    </row>
    <row r="216" spans="12:21" x14ac:dyDescent="0.25">
      <c r="L216" s="26">
        <v>213</v>
      </c>
      <c r="M216" t="s">
        <v>107</v>
      </c>
      <c r="N216" s="1" t="str">
        <f t="shared" si="14"/>
        <v/>
      </c>
      <c r="O216" s="31"/>
      <c r="P216" s="34" t="str">
        <f t="shared" si="15"/>
        <v/>
      </c>
      <c r="R216" t="s">
        <v>107</v>
      </c>
      <c r="S216" s="1" t="str">
        <f t="shared" ref="S216:S252" si="17">IF(L216&gt;$I$2,"",E216/$D$3-1)</f>
        <v/>
      </c>
      <c r="T216" s="1"/>
      <c r="U216" s="35" t="str">
        <f t="shared" si="16"/>
        <v/>
      </c>
    </row>
    <row r="217" spans="12:21" x14ac:dyDescent="0.25">
      <c r="L217" s="26">
        <v>214</v>
      </c>
      <c r="M217" t="s">
        <v>106</v>
      </c>
      <c r="N217" s="1" t="str">
        <f t="shared" si="14"/>
        <v/>
      </c>
      <c r="O217" s="31"/>
      <c r="P217" s="34" t="str">
        <f t="shared" si="15"/>
        <v/>
      </c>
      <c r="R217" t="s">
        <v>106</v>
      </c>
      <c r="S217" s="1" t="str">
        <f t="shared" si="17"/>
        <v/>
      </c>
      <c r="T217" s="1"/>
      <c r="U217" s="35" t="str">
        <f t="shared" si="16"/>
        <v/>
      </c>
    </row>
    <row r="218" spans="12:21" x14ac:dyDescent="0.25">
      <c r="L218" s="26">
        <v>215</v>
      </c>
      <c r="M218" t="s">
        <v>105</v>
      </c>
      <c r="N218" s="1" t="str">
        <f t="shared" si="14"/>
        <v/>
      </c>
      <c r="O218" s="31"/>
      <c r="P218" s="34" t="str">
        <f t="shared" si="15"/>
        <v/>
      </c>
      <c r="R218" t="s">
        <v>105</v>
      </c>
      <c r="S218" s="1" t="str">
        <f t="shared" si="17"/>
        <v/>
      </c>
      <c r="T218" s="1"/>
      <c r="U218" s="35" t="str">
        <f t="shared" si="16"/>
        <v/>
      </c>
    </row>
    <row r="219" spans="12:21" x14ac:dyDescent="0.25">
      <c r="L219" s="26">
        <v>216</v>
      </c>
      <c r="M219" t="s">
        <v>104</v>
      </c>
      <c r="N219" s="1" t="str">
        <f t="shared" si="14"/>
        <v/>
      </c>
      <c r="O219" s="31"/>
      <c r="P219" s="34" t="str">
        <f t="shared" si="15"/>
        <v/>
      </c>
      <c r="R219" t="s">
        <v>104</v>
      </c>
      <c r="S219" s="1" t="str">
        <f t="shared" si="17"/>
        <v/>
      </c>
      <c r="T219" s="1"/>
      <c r="U219" s="35" t="str">
        <f t="shared" si="16"/>
        <v/>
      </c>
    </row>
    <row r="220" spans="12:21" x14ac:dyDescent="0.25">
      <c r="L220" s="26">
        <v>217</v>
      </c>
      <c r="M220" t="s">
        <v>103</v>
      </c>
      <c r="N220" s="1" t="str">
        <f t="shared" si="14"/>
        <v/>
      </c>
      <c r="O220" s="31"/>
      <c r="P220" s="34" t="str">
        <f t="shared" si="15"/>
        <v/>
      </c>
      <c r="R220" t="s">
        <v>103</v>
      </c>
      <c r="S220" s="1" t="str">
        <f t="shared" si="17"/>
        <v/>
      </c>
      <c r="T220" s="1"/>
      <c r="U220" s="35" t="str">
        <f t="shared" si="16"/>
        <v/>
      </c>
    </row>
    <row r="221" spans="12:21" x14ac:dyDescent="0.25">
      <c r="L221" s="26">
        <v>218</v>
      </c>
      <c r="M221" t="s">
        <v>102</v>
      </c>
      <c r="N221" s="1" t="str">
        <f t="shared" si="14"/>
        <v/>
      </c>
      <c r="O221" s="31"/>
      <c r="P221" s="34" t="str">
        <f t="shared" si="15"/>
        <v/>
      </c>
      <c r="R221" t="s">
        <v>102</v>
      </c>
      <c r="S221" s="1" t="str">
        <f t="shared" si="17"/>
        <v/>
      </c>
      <c r="T221" s="1"/>
      <c r="U221" s="35" t="str">
        <f t="shared" si="16"/>
        <v/>
      </c>
    </row>
    <row r="222" spans="12:21" x14ac:dyDescent="0.25">
      <c r="L222" s="26">
        <v>219</v>
      </c>
      <c r="M222" t="s">
        <v>101</v>
      </c>
      <c r="N222" s="1" t="str">
        <f t="shared" si="14"/>
        <v/>
      </c>
      <c r="O222" s="31"/>
      <c r="P222" s="34" t="str">
        <f t="shared" si="15"/>
        <v/>
      </c>
      <c r="R222" t="s">
        <v>101</v>
      </c>
      <c r="S222" s="1" t="str">
        <f t="shared" si="17"/>
        <v/>
      </c>
      <c r="T222" s="1"/>
      <c r="U222" s="35" t="str">
        <f t="shared" si="16"/>
        <v/>
      </c>
    </row>
    <row r="223" spans="12:21" x14ac:dyDescent="0.25">
      <c r="L223" s="26">
        <v>220</v>
      </c>
      <c r="M223" t="s">
        <v>100</v>
      </c>
      <c r="N223" s="1" t="str">
        <f t="shared" si="14"/>
        <v/>
      </c>
      <c r="O223" s="31"/>
      <c r="P223" s="34" t="str">
        <f t="shared" si="15"/>
        <v/>
      </c>
      <c r="R223" t="s">
        <v>100</v>
      </c>
      <c r="S223" s="1" t="str">
        <f t="shared" si="17"/>
        <v/>
      </c>
      <c r="T223" s="1"/>
      <c r="U223" s="35" t="str">
        <f t="shared" si="16"/>
        <v/>
      </c>
    </row>
    <row r="224" spans="12:21" x14ac:dyDescent="0.25">
      <c r="L224" s="26">
        <v>221</v>
      </c>
      <c r="M224" t="s">
        <v>99</v>
      </c>
      <c r="N224" s="1" t="str">
        <f t="shared" si="14"/>
        <v/>
      </c>
      <c r="O224" s="31"/>
      <c r="P224" s="34" t="str">
        <f t="shared" si="15"/>
        <v/>
      </c>
      <c r="R224" t="s">
        <v>99</v>
      </c>
      <c r="S224" s="1" t="str">
        <f t="shared" si="17"/>
        <v/>
      </c>
      <c r="T224" s="1"/>
      <c r="U224" s="35" t="str">
        <f t="shared" si="16"/>
        <v/>
      </c>
    </row>
    <row r="225" spans="12:21" x14ac:dyDescent="0.25">
      <c r="L225" s="26">
        <v>222</v>
      </c>
      <c r="M225" t="s">
        <v>98</v>
      </c>
      <c r="N225" s="1" t="str">
        <f t="shared" si="14"/>
        <v/>
      </c>
      <c r="O225" s="31"/>
      <c r="P225" s="34" t="str">
        <f t="shared" si="15"/>
        <v/>
      </c>
      <c r="R225" t="s">
        <v>98</v>
      </c>
      <c r="S225" s="1" t="str">
        <f t="shared" si="17"/>
        <v/>
      </c>
      <c r="T225" s="1"/>
      <c r="U225" s="35" t="str">
        <f t="shared" si="16"/>
        <v/>
      </c>
    </row>
    <row r="226" spans="12:21" x14ac:dyDescent="0.25">
      <c r="L226" s="26">
        <v>223</v>
      </c>
      <c r="M226" t="s">
        <v>97</v>
      </c>
      <c r="N226" s="1" t="str">
        <f t="shared" si="14"/>
        <v/>
      </c>
      <c r="O226" s="31"/>
      <c r="P226" s="34" t="str">
        <f t="shared" si="15"/>
        <v/>
      </c>
      <c r="R226" t="s">
        <v>97</v>
      </c>
      <c r="S226" s="1" t="str">
        <f t="shared" si="17"/>
        <v/>
      </c>
      <c r="T226" s="1"/>
      <c r="U226" s="35" t="str">
        <f t="shared" si="16"/>
        <v/>
      </c>
    </row>
    <row r="227" spans="12:21" x14ac:dyDescent="0.25">
      <c r="L227" s="26">
        <v>224</v>
      </c>
      <c r="M227" t="s">
        <v>96</v>
      </c>
      <c r="N227" s="1" t="str">
        <f t="shared" si="14"/>
        <v/>
      </c>
      <c r="O227" s="31"/>
      <c r="P227" s="34" t="str">
        <f t="shared" si="15"/>
        <v/>
      </c>
      <c r="R227" t="s">
        <v>96</v>
      </c>
      <c r="S227" s="1" t="str">
        <f t="shared" si="17"/>
        <v/>
      </c>
      <c r="T227" s="1"/>
      <c r="U227" s="35" t="str">
        <f t="shared" si="16"/>
        <v/>
      </c>
    </row>
    <row r="228" spans="12:21" x14ac:dyDescent="0.25">
      <c r="L228" s="26">
        <v>225</v>
      </c>
      <c r="M228" t="s">
        <v>95</v>
      </c>
      <c r="N228" s="1" t="str">
        <f t="shared" si="14"/>
        <v/>
      </c>
      <c r="O228" s="31"/>
      <c r="P228" s="34" t="str">
        <f t="shared" si="15"/>
        <v/>
      </c>
      <c r="R228" t="s">
        <v>95</v>
      </c>
      <c r="S228" s="1" t="str">
        <f t="shared" si="17"/>
        <v/>
      </c>
      <c r="T228" s="1"/>
      <c r="U228" s="35" t="str">
        <f t="shared" si="16"/>
        <v/>
      </c>
    </row>
    <row r="229" spans="12:21" x14ac:dyDescent="0.25">
      <c r="L229" s="26">
        <v>226</v>
      </c>
      <c r="M229" t="s">
        <v>94</v>
      </c>
      <c r="N229" s="1" t="str">
        <f t="shared" si="14"/>
        <v/>
      </c>
      <c r="O229" s="31"/>
      <c r="P229" s="34" t="str">
        <f t="shared" si="15"/>
        <v/>
      </c>
      <c r="R229" t="s">
        <v>94</v>
      </c>
      <c r="S229" s="1" t="str">
        <f t="shared" si="17"/>
        <v/>
      </c>
      <c r="T229" s="1"/>
      <c r="U229" s="35" t="str">
        <f t="shared" si="16"/>
        <v/>
      </c>
    </row>
    <row r="230" spans="12:21" x14ac:dyDescent="0.25">
      <c r="L230" s="26">
        <v>227</v>
      </c>
      <c r="M230" t="s">
        <v>93</v>
      </c>
      <c r="N230" s="1" t="str">
        <f t="shared" si="14"/>
        <v/>
      </c>
      <c r="O230" s="31"/>
      <c r="P230" s="34" t="str">
        <f t="shared" si="15"/>
        <v/>
      </c>
      <c r="R230" t="s">
        <v>93</v>
      </c>
      <c r="S230" s="1" t="str">
        <f t="shared" si="17"/>
        <v/>
      </c>
      <c r="T230" s="1"/>
      <c r="U230" s="35" t="str">
        <f t="shared" si="16"/>
        <v/>
      </c>
    </row>
    <row r="231" spans="12:21" x14ac:dyDescent="0.25">
      <c r="L231" s="26">
        <v>228</v>
      </c>
      <c r="M231" t="s">
        <v>92</v>
      </c>
      <c r="N231" s="1" t="str">
        <f t="shared" si="14"/>
        <v/>
      </c>
      <c r="O231" s="31"/>
      <c r="P231" s="34" t="str">
        <f t="shared" si="15"/>
        <v/>
      </c>
      <c r="R231" t="s">
        <v>92</v>
      </c>
      <c r="S231" s="1" t="str">
        <f t="shared" si="17"/>
        <v/>
      </c>
      <c r="T231" s="1"/>
      <c r="U231" s="35" t="str">
        <f t="shared" si="16"/>
        <v/>
      </c>
    </row>
    <row r="232" spans="12:21" x14ac:dyDescent="0.25">
      <c r="L232" s="26">
        <v>229</v>
      </c>
      <c r="M232" t="s">
        <v>91</v>
      </c>
      <c r="N232" s="1" t="str">
        <f t="shared" si="14"/>
        <v/>
      </c>
      <c r="O232" s="31"/>
      <c r="P232" s="34" t="str">
        <f t="shared" si="15"/>
        <v/>
      </c>
      <c r="R232" t="s">
        <v>91</v>
      </c>
      <c r="S232" s="1" t="str">
        <f t="shared" si="17"/>
        <v/>
      </c>
      <c r="T232" s="1"/>
      <c r="U232" s="35" t="str">
        <f t="shared" si="16"/>
        <v/>
      </c>
    </row>
    <row r="233" spans="12:21" x14ac:dyDescent="0.25">
      <c r="L233" s="26">
        <v>230</v>
      </c>
      <c r="M233" t="s">
        <v>90</v>
      </c>
      <c r="N233" s="1" t="str">
        <f t="shared" si="14"/>
        <v/>
      </c>
      <c r="O233" s="31"/>
      <c r="P233" s="34" t="str">
        <f t="shared" si="15"/>
        <v/>
      </c>
      <c r="R233" t="s">
        <v>90</v>
      </c>
      <c r="S233" s="1" t="str">
        <f t="shared" si="17"/>
        <v/>
      </c>
      <c r="T233" s="1"/>
      <c r="U233" s="35" t="str">
        <f t="shared" si="16"/>
        <v/>
      </c>
    </row>
    <row r="234" spans="12:21" x14ac:dyDescent="0.25">
      <c r="L234" s="26">
        <v>231</v>
      </c>
      <c r="M234" t="s">
        <v>89</v>
      </c>
      <c r="N234" s="1" t="str">
        <f t="shared" si="14"/>
        <v/>
      </c>
      <c r="O234" s="31"/>
      <c r="P234" s="34" t="str">
        <f t="shared" si="15"/>
        <v/>
      </c>
      <c r="R234" t="s">
        <v>89</v>
      </c>
      <c r="S234" s="1" t="str">
        <f t="shared" si="17"/>
        <v/>
      </c>
      <c r="T234" s="1"/>
      <c r="U234" s="35" t="str">
        <f t="shared" si="16"/>
        <v/>
      </c>
    </row>
    <row r="235" spans="12:21" x14ac:dyDescent="0.25">
      <c r="L235" s="26">
        <v>232</v>
      </c>
      <c r="M235" t="s">
        <v>88</v>
      </c>
      <c r="N235" s="1" t="str">
        <f t="shared" si="14"/>
        <v/>
      </c>
      <c r="O235" s="31"/>
      <c r="P235" s="34" t="str">
        <f t="shared" si="15"/>
        <v/>
      </c>
      <c r="R235" t="s">
        <v>88</v>
      </c>
      <c r="S235" s="1" t="str">
        <f t="shared" si="17"/>
        <v/>
      </c>
      <c r="T235" s="1"/>
      <c r="U235" s="35" t="str">
        <f t="shared" si="16"/>
        <v/>
      </c>
    </row>
    <row r="236" spans="12:21" x14ac:dyDescent="0.25">
      <c r="L236" s="26">
        <v>233</v>
      </c>
      <c r="M236" t="s">
        <v>87</v>
      </c>
      <c r="N236" s="1" t="str">
        <f t="shared" si="14"/>
        <v/>
      </c>
      <c r="O236" s="31"/>
      <c r="P236" s="34" t="str">
        <f t="shared" si="15"/>
        <v/>
      </c>
      <c r="R236" t="s">
        <v>87</v>
      </c>
      <c r="S236" s="1" t="str">
        <f t="shared" si="17"/>
        <v/>
      </c>
      <c r="T236" s="1"/>
      <c r="U236" s="35" t="str">
        <f t="shared" si="16"/>
        <v/>
      </c>
    </row>
    <row r="237" spans="12:21" x14ac:dyDescent="0.25">
      <c r="L237" s="26">
        <v>234</v>
      </c>
      <c r="M237" t="s">
        <v>86</v>
      </c>
      <c r="N237" s="1" t="str">
        <f t="shared" si="14"/>
        <v/>
      </c>
      <c r="O237" s="31"/>
      <c r="P237" s="34" t="str">
        <f t="shared" si="15"/>
        <v/>
      </c>
      <c r="R237" t="s">
        <v>86</v>
      </c>
      <c r="S237" s="1" t="str">
        <f t="shared" si="17"/>
        <v/>
      </c>
      <c r="T237" s="1"/>
      <c r="U237" s="35" t="str">
        <f t="shared" si="16"/>
        <v/>
      </c>
    </row>
    <row r="238" spans="12:21" x14ac:dyDescent="0.25">
      <c r="L238" s="26">
        <v>235</v>
      </c>
      <c r="M238" t="s">
        <v>85</v>
      </c>
      <c r="N238" s="1" t="str">
        <f t="shared" si="14"/>
        <v/>
      </c>
      <c r="O238" s="31"/>
      <c r="P238" s="34" t="str">
        <f t="shared" si="15"/>
        <v/>
      </c>
      <c r="R238" t="s">
        <v>85</v>
      </c>
      <c r="S238" s="1" t="str">
        <f t="shared" si="17"/>
        <v/>
      </c>
      <c r="T238" s="1"/>
      <c r="U238" s="35" t="str">
        <f t="shared" si="16"/>
        <v/>
      </c>
    </row>
    <row r="239" spans="12:21" x14ac:dyDescent="0.25">
      <c r="L239" s="26">
        <v>236</v>
      </c>
      <c r="M239" t="s">
        <v>84</v>
      </c>
      <c r="N239" s="1" t="str">
        <f t="shared" si="14"/>
        <v/>
      </c>
      <c r="O239" s="31"/>
      <c r="P239" s="34" t="str">
        <f t="shared" si="15"/>
        <v/>
      </c>
      <c r="R239" t="s">
        <v>84</v>
      </c>
      <c r="S239" s="1" t="str">
        <f t="shared" si="17"/>
        <v/>
      </c>
      <c r="T239" s="1"/>
      <c r="U239" s="35" t="str">
        <f t="shared" si="16"/>
        <v/>
      </c>
    </row>
    <row r="240" spans="12:21" x14ac:dyDescent="0.25">
      <c r="L240" s="26">
        <v>237</v>
      </c>
      <c r="M240" t="s">
        <v>83</v>
      </c>
      <c r="N240" s="1" t="str">
        <f t="shared" si="14"/>
        <v/>
      </c>
      <c r="O240" s="31"/>
      <c r="P240" s="34" t="str">
        <f t="shared" si="15"/>
        <v/>
      </c>
      <c r="R240" t="s">
        <v>83</v>
      </c>
      <c r="S240" s="1" t="str">
        <f t="shared" si="17"/>
        <v/>
      </c>
      <c r="T240" s="1"/>
      <c r="U240" s="35" t="str">
        <f t="shared" si="16"/>
        <v/>
      </c>
    </row>
    <row r="241" spans="12:21" x14ac:dyDescent="0.25">
      <c r="L241" s="26">
        <v>238</v>
      </c>
      <c r="M241" t="s">
        <v>82</v>
      </c>
      <c r="N241" s="1" t="str">
        <f t="shared" si="14"/>
        <v/>
      </c>
      <c r="O241" s="31"/>
      <c r="P241" s="34" t="str">
        <f t="shared" si="15"/>
        <v/>
      </c>
      <c r="R241" t="s">
        <v>82</v>
      </c>
      <c r="S241" s="1" t="str">
        <f t="shared" si="17"/>
        <v/>
      </c>
      <c r="T241" s="1"/>
      <c r="U241" s="35" t="str">
        <f t="shared" si="16"/>
        <v/>
      </c>
    </row>
    <row r="242" spans="12:21" x14ac:dyDescent="0.25">
      <c r="L242" s="26">
        <v>239</v>
      </c>
      <c r="M242" t="s">
        <v>81</v>
      </c>
      <c r="N242" s="1" t="str">
        <f t="shared" si="14"/>
        <v/>
      </c>
      <c r="O242" s="31"/>
      <c r="P242" s="34" t="str">
        <f t="shared" si="15"/>
        <v/>
      </c>
      <c r="R242" t="s">
        <v>81</v>
      </c>
      <c r="S242" s="1" t="str">
        <f t="shared" si="17"/>
        <v/>
      </c>
      <c r="T242" s="1"/>
      <c r="U242" s="35" t="str">
        <f t="shared" si="16"/>
        <v/>
      </c>
    </row>
    <row r="243" spans="12:21" x14ac:dyDescent="0.25">
      <c r="L243" s="26">
        <v>240</v>
      </c>
      <c r="M243" t="s">
        <v>80</v>
      </c>
      <c r="N243" s="1" t="str">
        <f t="shared" si="14"/>
        <v/>
      </c>
      <c r="O243" s="31"/>
      <c r="P243" s="34" t="str">
        <f t="shared" si="15"/>
        <v/>
      </c>
      <c r="R243" t="s">
        <v>80</v>
      </c>
      <c r="S243" s="1" t="str">
        <f t="shared" si="17"/>
        <v/>
      </c>
      <c r="T243" s="1"/>
      <c r="U243" s="35" t="str">
        <f t="shared" si="16"/>
        <v/>
      </c>
    </row>
    <row r="244" spans="12:21" x14ac:dyDescent="0.25">
      <c r="L244" s="26">
        <v>241</v>
      </c>
      <c r="M244" t="s">
        <v>79</v>
      </c>
      <c r="N244" s="1" t="str">
        <f t="shared" si="14"/>
        <v/>
      </c>
      <c r="O244" s="31"/>
      <c r="P244" s="34" t="str">
        <f t="shared" si="15"/>
        <v/>
      </c>
      <c r="R244" t="s">
        <v>79</v>
      </c>
      <c r="S244" s="1" t="str">
        <f t="shared" si="17"/>
        <v/>
      </c>
      <c r="T244" s="1"/>
      <c r="U244" s="35" t="str">
        <f t="shared" si="16"/>
        <v/>
      </c>
    </row>
    <row r="245" spans="12:21" x14ac:dyDescent="0.25">
      <c r="L245" s="26">
        <v>242</v>
      </c>
      <c r="M245" t="s">
        <v>78</v>
      </c>
      <c r="N245" s="1" t="str">
        <f t="shared" si="14"/>
        <v/>
      </c>
      <c r="O245" s="31"/>
      <c r="P245" s="34" t="str">
        <f t="shared" si="15"/>
        <v/>
      </c>
      <c r="R245" t="s">
        <v>78</v>
      </c>
      <c r="S245" s="1" t="str">
        <f t="shared" si="17"/>
        <v/>
      </c>
      <c r="T245" s="1"/>
      <c r="U245" s="35" t="str">
        <f t="shared" si="16"/>
        <v/>
      </c>
    </row>
    <row r="246" spans="12:21" x14ac:dyDescent="0.25">
      <c r="L246" s="26">
        <v>243</v>
      </c>
      <c r="M246" t="s">
        <v>77</v>
      </c>
      <c r="N246" s="1" t="str">
        <f t="shared" si="14"/>
        <v/>
      </c>
      <c r="O246" s="31"/>
      <c r="P246" s="34" t="str">
        <f t="shared" si="15"/>
        <v/>
      </c>
      <c r="R246" t="s">
        <v>77</v>
      </c>
      <c r="S246" s="1" t="str">
        <f t="shared" si="17"/>
        <v/>
      </c>
      <c r="T246" s="1"/>
      <c r="U246" s="35" t="str">
        <f t="shared" si="16"/>
        <v/>
      </c>
    </row>
    <row r="247" spans="12:21" x14ac:dyDescent="0.25">
      <c r="L247" s="26">
        <v>244</v>
      </c>
      <c r="M247" t="s">
        <v>76</v>
      </c>
      <c r="N247" s="1" t="str">
        <f t="shared" si="14"/>
        <v/>
      </c>
      <c r="O247" s="31"/>
      <c r="P247" s="34" t="str">
        <f t="shared" si="15"/>
        <v/>
      </c>
      <c r="R247" t="s">
        <v>76</v>
      </c>
      <c r="S247" s="1" t="str">
        <f t="shared" si="17"/>
        <v/>
      </c>
      <c r="T247" s="1"/>
      <c r="U247" s="35" t="str">
        <f t="shared" si="16"/>
        <v/>
      </c>
    </row>
    <row r="248" spans="12:21" x14ac:dyDescent="0.25">
      <c r="L248" s="26">
        <v>245</v>
      </c>
      <c r="M248" t="s">
        <v>75</v>
      </c>
      <c r="N248" s="1" t="str">
        <f t="shared" si="14"/>
        <v/>
      </c>
      <c r="O248" s="31"/>
      <c r="P248" s="34" t="str">
        <f t="shared" si="15"/>
        <v/>
      </c>
      <c r="R248" t="s">
        <v>75</v>
      </c>
      <c r="S248" s="1" t="str">
        <f t="shared" si="17"/>
        <v/>
      </c>
      <c r="T248" s="1"/>
      <c r="U248" s="35" t="str">
        <f t="shared" si="16"/>
        <v/>
      </c>
    </row>
    <row r="249" spans="12:21" x14ac:dyDescent="0.25">
      <c r="L249" s="26">
        <v>246</v>
      </c>
      <c r="M249" t="s">
        <v>74</v>
      </c>
      <c r="N249" s="1" t="str">
        <f t="shared" si="14"/>
        <v/>
      </c>
      <c r="O249" s="31"/>
      <c r="P249" s="34" t="str">
        <f t="shared" si="15"/>
        <v/>
      </c>
      <c r="R249" t="s">
        <v>74</v>
      </c>
      <c r="S249" s="1" t="str">
        <f t="shared" si="17"/>
        <v/>
      </c>
      <c r="T249" s="1"/>
      <c r="U249" s="35" t="str">
        <f t="shared" si="16"/>
        <v/>
      </c>
    </row>
    <row r="250" spans="12:21" x14ac:dyDescent="0.25">
      <c r="L250" s="26">
        <v>247</v>
      </c>
      <c r="M250" t="s">
        <v>73</v>
      </c>
      <c r="N250" s="1" t="str">
        <f t="shared" si="14"/>
        <v/>
      </c>
      <c r="O250" s="31"/>
      <c r="P250" s="34" t="str">
        <f t="shared" si="15"/>
        <v/>
      </c>
      <c r="R250" t="s">
        <v>73</v>
      </c>
      <c r="S250" s="1" t="str">
        <f t="shared" si="17"/>
        <v/>
      </c>
      <c r="T250" s="1"/>
      <c r="U250" s="35" t="str">
        <f t="shared" si="16"/>
        <v/>
      </c>
    </row>
    <row r="251" spans="12:21" x14ac:dyDescent="0.25">
      <c r="L251" s="26">
        <v>248</v>
      </c>
      <c r="M251" t="s">
        <v>72</v>
      </c>
      <c r="N251" s="1" t="str">
        <f t="shared" si="14"/>
        <v/>
      </c>
      <c r="O251" s="31"/>
      <c r="P251" s="34" t="str">
        <f t="shared" si="15"/>
        <v/>
      </c>
      <c r="R251" t="s">
        <v>72</v>
      </c>
      <c r="S251" s="1" t="str">
        <f t="shared" si="17"/>
        <v/>
      </c>
      <c r="T251" s="1"/>
      <c r="U251" s="35" t="str">
        <f t="shared" si="16"/>
        <v/>
      </c>
    </row>
    <row r="252" spans="12:21" x14ac:dyDescent="0.25">
      <c r="L252" s="26">
        <v>249</v>
      </c>
      <c r="M252" t="s">
        <v>71</v>
      </c>
      <c r="N252" s="1" t="str">
        <f t="shared" si="14"/>
        <v/>
      </c>
      <c r="O252" s="31"/>
      <c r="P252" s="34" t="str">
        <f t="shared" si="15"/>
        <v/>
      </c>
      <c r="R252" t="s">
        <v>71</v>
      </c>
      <c r="S252" s="1" t="str">
        <f t="shared" si="17"/>
        <v/>
      </c>
      <c r="T252" s="1"/>
      <c r="U252" s="35" t="str">
        <f t="shared" si="16"/>
        <v/>
      </c>
    </row>
    <row r="253" spans="12:21" x14ac:dyDescent="0.25">
      <c r="L253" s="26">
        <v>250</v>
      </c>
      <c r="M253" t="s">
        <v>70</v>
      </c>
      <c r="N253" s="1" t="str">
        <f>IF(L253&gt;$I$2,"",F253/$D$3-1)</f>
        <v/>
      </c>
      <c r="O253" s="31"/>
      <c r="P253" s="34" t="str">
        <f t="shared" si="15"/>
        <v/>
      </c>
      <c r="R253" t="s">
        <v>70</v>
      </c>
      <c r="S253" s="1" t="str">
        <f>IF(L253&gt;$I$2,"",E253/$D$3-1)</f>
        <v/>
      </c>
      <c r="T253" s="1"/>
      <c r="U253" s="35" t="str">
        <f t="shared" si="16"/>
        <v/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回測表</vt:lpstr>
      <vt:lpstr>查詢樣板</vt:lpstr>
      <vt:lpstr>20100311_2472</vt:lpstr>
      <vt:lpstr>20180326_1514</vt:lpstr>
      <vt:lpstr>20060330_5488</vt:lpstr>
      <vt:lpstr>20060331_6223</vt:lpstr>
      <vt:lpstr>20060317_8079</vt:lpstr>
      <vt:lpstr>20100315_3534</vt:lpstr>
      <vt:lpstr>20180326_2478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emaxic2</dc:creator>
  <cp:lastModifiedBy>liu eric</cp:lastModifiedBy>
  <cp:lastPrinted>2017-11-21T02:35:55Z</cp:lastPrinted>
  <dcterms:created xsi:type="dcterms:W3CDTF">2017-08-30T02:24:57Z</dcterms:created>
  <dcterms:modified xsi:type="dcterms:W3CDTF">2021-10-05T01:45:38Z</dcterms:modified>
</cp:coreProperties>
</file>